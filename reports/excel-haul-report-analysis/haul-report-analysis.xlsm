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onlon\Desktop\git\yeleva-sitelink3dv2-api-tools\reports\excel-haul-report-analysis\"/>
    </mc:Choice>
  </mc:AlternateContent>
  <xr:revisionPtr revIDLastSave="0" documentId="8_{0F7FE553-C1FB-4EF6-937C-CAA83010CA43}" xr6:coauthVersionLast="46" xr6:coauthVersionMax="46" xr10:uidLastSave="{00000000-0000-0000-0000-000000000000}"/>
  <bookViews>
    <workbookView xWindow="-120" yWindow="-120" windowWidth="29040" windowHeight="17640" tabRatio="684" xr2:uid="{00000000-000D-0000-FFFF-FFFF00000000}"/>
  </bookViews>
  <sheets>
    <sheet name="Config" sheetId="7" r:id="rId1"/>
    <sheet name="Progress" sheetId="9" r:id="rId2"/>
    <sheet name="Progress Calcs" sheetId="11" r:id="rId3"/>
    <sheet name="Operations" sheetId="8" r:id="rId4"/>
    <sheet name="Operations Calcs" sheetId="10" r:id="rId5"/>
    <sheet name="Elevations" sheetId="30" r:id="rId6"/>
    <sheet name="Elevations Calcs" sheetId="31" r:id="rId7"/>
    <sheet name="Report Data" sheetId="29" r:id="rId8"/>
    <sheet name="Trail Data" sheetId="32" r:id="rId9"/>
  </sheets>
  <definedNames>
    <definedName name="ExternalData_1" localSheetId="7" hidden="1">'Report Data'!$A$1:$CL$101</definedName>
    <definedName name="ExternalData_1" localSheetId="8" hidden="1">'Trail Data'!$A$1:$K$116</definedName>
    <definedName name="FilePath">Config!$D$8</definedName>
    <definedName name="TrailUuid">Elevations!$I$15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31" l="1" a="1"/>
  <c r="F2" i="31" s="1"/>
  <c r="J2" i="31" s="1" a="1"/>
  <c r="J2" i="31" s="1"/>
  <c r="K2" i="31" s="1"/>
  <c r="I119" i="31" a="1"/>
  <c r="L2" i="31" l="1"/>
  <c r="I119" i="31"/>
  <c r="J119" i="31" s="1" a="1"/>
  <c r="J119" i="31" s="1"/>
  <c r="K119" i="31" l="1"/>
  <c r="L119" i="31"/>
  <c r="G25" i="31"/>
  <c r="G26" i="31"/>
  <c r="G27" i="31"/>
  <c r="G28" i="31"/>
  <c r="G29" i="31"/>
  <c r="G30" i="31"/>
  <c r="G31" i="31"/>
  <c r="G32" i="31"/>
  <c r="G33" i="31"/>
  <c r="G34" i="31"/>
  <c r="G35" i="31"/>
  <c r="G36" i="31"/>
  <c r="G37" i="31"/>
  <c r="G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92" i="31"/>
  <c r="G93" i="31"/>
  <c r="G94" i="31"/>
  <c r="G95" i="31"/>
  <c r="G96" i="31"/>
  <c r="G97" i="31"/>
  <c r="G98" i="31"/>
  <c r="G99" i="31"/>
  <c r="G100" i="31"/>
  <c r="G101" i="31"/>
  <c r="G102" i="31"/>
  <c r="G103" i="31"/>
  <c r="G104" i="31"/>
  <c r="G105" i="31"/>
  <c r="G106" i="31"/>
  <c r="G107" i="31"/>
  <c r="G108" i="31"/>
  <c r="G109" i="31"/>
  <c r="G110" i="31"/>
  <c r="G111" i="31"/>
  <c r="G112" i="31"/>
  <c r="G113" i="31"/>
  <c r="G114" i="31"/>
  <c r="G115" i="31"/>
  <c r="G116" i="31"/>
  <c r="G117" i="31"/>
  <c r="G118" i="31"/>
  <c r="G119" i="31"/>
  <c r="G9" i="31"/>
  <c r="G10" i="31"/>
  <c r="G11" i="31"/>
  <c r="G12" i="31"/>
  <c r="G13" i="31"/>
  <c r="G14" i="31"/>
  <c r="G15" i="31"/>
  <c r="G16" i="31"/>
  <c r="G17" i="31"/>
  <c r="G18" i="31"/>
  <c r="G19" i="31"/>
  <c r="G20" i="31"/>
  <c r="G21" i="31"/>
  <c r="G22" i="31"/>
  <c r="G23" i="31"/>
  <c r="G24" i="31"/>
  <c r="G3" i="31"/>
  <c r="G4" i="31"/>
  <c r="G5" i="31"/>
  <c r="G6" i="31"/>
  <c r="G7" i="31"/>
  <c r="G8" i="31"/>
  <c r="G2" i="31"/>
  <c r="H2" i="31" a="1"/>
  <c r="I15" i="30" a="1"/>
  <c r="I15" i="30" s="1"/>
  <c r="I36" i="31" a="1"/>
  <c r="I60" i="31" a="1"/>
  <c r="I48" i="31" a="1"/>
  <c r="I63" i="31" a="1"/>
  <c r="I96" i="31" a="1"/>
  <c r="I86" i="31" a="1"/>
  <c r="I43" i="31" a="1"/>
  <c r="I30" i="31" a="1"/>
  <c r="I116" i="31" a="1"/>
  <c r="I40" i="31" a="1"/>
  <c r="I81" i="31" a="1"/>
  <c r="I74" i="31" a="1"/>
  <c r="I111" i="31" a="1"/>
  <c r="I21" i="31" a="1"/>
  <c r="I104" i="31" a="1"/>
  <c r="I109" i="31" a="1"/>
  <c r="I69" i="31" a="1"/>
  <c r="I62" i="31" a="1"/>
  <c r="I99" i="31" a="1"/>
  <c r="I12" i="31" a="1"/>
  <c r="I45" i="31" a="1"/>
  <c r="I118" i="31" a="1"/>
  <c r="I57" i="31" a="1"/>
  <c r="I53" i="31" a="1"/>
  <c r="I8" i="31" a="1"/>
  <c r="I87" i="31" a="1"/>
  <c r="I80" i="31" a="1"/>
  <c r="I4" i="31" a="1"/>
  <c r="I39" i="31" a="1"/>
  <c r="I44" i="31" a="1"/>
  <c r="I7" i="31" a="1"/>
  <c r="I72" i="31" a="1"/>
  <c r="I68" i="31" a="1"/>
  <c r="I14" i="31" a="1"/>
  <c r="I107" i="31" a="1"/>
  <c r="I102" i="31" a="1"/>
  <c r="I11" i="31" a="1"/>
  <c r="I108" i="31" a="1"/>
  <c r="I92" i="31" a="1"/>
  <c r="I46" i="31" a="1"/>
  <c r="I52" i="31" a="1"/>
  <c r="I95" i="31" a="1"/>
  <c r="I78" i="31" a="1"/>
  <c r="I10" i="31" a="1"/>
  <c r="I51" i="31" a="1"/>
  <c r="I47" i="31" a="1"/>
  <c r="I29" i="31" a="1"/>
  <c r="I112" i="31" a="1"/>
  <c r="I9" i="31" a="1"/>
  <c r="I114" i="31" a="1"/>
  <c r="I34" i="31" a="1"/>
  <c r="I59" i="31" a="1"/>
  <c r="I16" i="31" a="1"/>
  <c r="I83" i="31" a="1"/>
  <c r="I113" i="31" a="1"/>
  <c r="I71" i="31" a="1"/>
  <c r="I25" i="31" a="1"/>
  <c r="I56" i="31" a="1"/>
  <c r="I97" i="31" a="1"/>
  <c r="I38" i="31" a="1"/>
  <c r="I89" i="31" a="1"/>
  <c r="I115" i="31" a="1"/>
  <c r="I19" i="31" a="1"/>
  <c r="I41" i="31" a="1"/>
  <c r="I91" i="31" a="1"/>
  <c r="I20" i="31" a="1"/>
  <c r="I77" i="31" a="1"/>
  <c r="I106" i="31" a="1"/>
  <c r="I26" i="31" a="1"/>
  <c r="I105" i="31" a="1"/>
  <c r="I85" i="31" a="1"/>
  <c r="I15" i="31" a="1"/>
  <c r="I101" i="31" a="1"/>
  <c r="I90" i="31" a="1"/>
  <c r="I5" i="31" a="1"/>
  <c r="I42" i="31" a="1"/>
  <c r="I27" i="31" a="1"/>
  <c r="I76" i="31" a="1"/>
  <c r="I110" i="31" a="1"/>
  <c r="I35" i="31" a="1"/>
  <c r="I17" i="31" a="1"/>
  <c r="I49" i="31" a="1"/>
  <c r="I93" i="31" a="1"/>
  <c r="I13" i="31" a="1"/>
  <c r="I64" i="31" a="1"/>
  <c r="I6" i="31" a="1"/>
  <c r="I33" i="31" a="1"/>
  <c r="I84" i="31" a="1"/>
  <c r="I79" i="31" a="1"/>
  <c r="I22" i="31" a="1"/>
  <c r="I50" i="31" a="1"/>
  <c r="I94" i="31" a="1"/>
  <c r="I18" i="31" a="1"/>
  <c r="I66" i="31" a="1"/>
  <c r="I73" i="31" a="1"/>
  <c r="I32" i="31" a="1"/>
  <c r="I117" i="31" a="1"/>
  <c r="I88" i="31" a="1"/>
  <c r="I23" i="31" a="1"/>
  <c r="I54" i="31" a="1"/>
  <c r="I67" i="31" a="1"/>
  <c r="I28" i="31" a="1"/>
  <c r="I65" i="31" a="1"/>
  <c r="I100" i="31" a="1"/>
  <c r="I58" i="31" a="1"/>
  <c r="I61" i="31" a="1"/>
  <c r="I75" i="31" a="1"/>
  <c r="I24" i="31" a="1"/>
  <c r="I55" i="31" a="1"/>
  <c r="I70" i="31" a="1"/>
  <c r="I98" i="31" a="1"/>
  <c r="I31" i="31" a="1"/>
  <c r="I82" i="31" a="1"/>
  <c r="I37" i="31" a="1"/>
  <c r="I103" i="31" a="1"/>
  <c r="I118" i="31" l="1"/>
  <c r="J118" i="31" s="1" a="1"/>
  <c r="J118" i="31" s="1"/>
  <c r="I45" i="31"/>
  <c r="J45" i="31" s="1" a="1"/>
  <c r="J45" i="31" s="1"/>
  <c r="I99" i="31"/>
  <c r="J99" i="31" s="1" a="1"/>
  <c r="J99" i="31" s="1"/>
  <c r="I109" i="31"/>
  <c r="J109" i="31" s="1" a="1"/>
  <c r="J109" i="31" s="1"/>
  <c r="I111" i="31"/>
  <c r="J111" i="31" s="1" a="1"/>
  <c r="J111" i="31" s="1"/>
  <c r="I40" i="31"/>
  <c r="J40" i="31" s="1" a="1"/>
  <c r="J40" i="31" s="1"/>
  <c r="I43" i="31"/>
  <c r="J43" i="31" s="1" a="1"/>
  <c r="J43" i="31" s="1"/>
  <c r="I46" i="31"/>
  <c r="J46" i="31" s="1" a="1"/>
  <c r="J46" i="31" s="1"/>
  <c r="I49" i="31"/>
  <c r="J49" i="31" s="1" a="1"/>
  <c r="J49" i="31" s="1"/>
  <c r="I52" i="31"/>
  <c r="J52" i="31" s="1" a="1"/>
  <c r="J52" i="31" s="1"/>
  <c r="I55" i="31"/>
  <c r="J55" i="31" s="1" a="1"/>
  <c r="J55" i="31" s="1"/>
  <c r="I58" i="31"/>
  <c r="J58" i="31" s="1" a="1"/>
  <c r="J58" i="31" s="1"/>
  <c r="I61" i="31"/>
  <c r="J61" i="31" s="1" a="1"/>
  <c r="J61" i="31" s="1"/>
  <c r="I64" i="31"/>
  <c r="J64" i="31" s="1" a="1"/>
  <c r="J64" i="31" s="1"/>
  <c r="I67" i="31"/>
  <c r="J67" i="31" s="1" a="1"/>
  <c r="J67" i="31" s="1"/>
  <c r="I70" i="31"/>
  <c r="J70" i="31" s="1" a="1"/>
  <c r="J70" i="31" s="1"/>
  <c r="I73" i="31"/>
  <c r="J73" i="31" s="1" a="1"/>
  <c r="J73" i="31" s="1"/>
  <c r="I76" i="31"/>
  <c r="J76" i="31" s="1" a="1"/>
  <c r="J76" i="31" s="1"/>
  <c r="I79" i="31"/>
  <c r="J79" i="31" s="1" a="1"/>
  <c r="J79" i="31" s="1"/>
  <c r="I82" i="31"/>
  <c r="J82" i="31" s="1" a="1"/>
  <c r="J82" i="31" s="1"/>
  <c r="I85" i="31"/>
  <c r="J85" i="31" s="1" a="1"/>
  <c r="J85" i="31" s="1"/>
  <c r="I88" i="31"/>
  <c r="J88" i="31" s="1" a="1"/>
  <c r="J88" i="31" s="1"/>
  <c r="I91" i="31"/>
  <c r="J91" i="31" s="1" a="1"/>
  <c r="J91" i="31" s="1"/>
  <c r="I94" i="31"/>
  <c r="J94" i="31" s="1" a="1"/>
  <c r="J94" i="31" s="1"/>
  <c r="I97" i="31"/>
  <c r="J97" i="31" s="1" a="1"/>
  <c r="J97" i="31" s="1"/>
  <c r="I100" i="31"/>
  <c r="J100" i="31" s="1" a="1"/>
  <c r="J100" i="31" s="1"/>
  <c r="I103" i="31"/>
  <c r="J103" i="31" s="1" a="1"/>
  <c r="J103" i="31" s="1"/>
  <c r="I106" i="31"/>
  <c r="J106" i="31" s="1" a="1"/>
  <c r="J106" i="31" s="1"/>
  <c r="I112" i="31"/>
  <c r="J112" i="31" s="1" a="1"/>
  <c r="J112" i="31" s="1"/>
  <c r="I115" i="31"/>
  <c r="J115" i="31" s="1" a="1"/>
  <c r="J115" i="31" s="1"/>
  <c r="I78" i="31"/>
  <c r="J78" i="31" s="1" a="1"/>
  <c r="J78" i="31" s="1"/>
  <c r="I90" i="31"/>
  <c r="J90" i="31" s="1" a="1"/>
  <c r="J90" i="31" s="1"/>
  <c r="I102" i="31"/>
  <c r="J102" i="31" s="1" a="1"/>
  <c r="J102" i="31" s="1"/>
  <c r="I114" i="31"/>
  <c r="J114" i="31" s="1" a="1"/>
  <c r="J114" i="31" s="1"/>
  <c r="I44" i="31"/>
  <c r="J44" i="31" s="1" a="1"/>
  <c r="J44" i="31" s="1"/>
  <c r="I47" i="31"/>
  <c r="J47" i="31" s="1" a="1"/>
  <c r="J47" i="31" s="1"/>
  <c r="I53" i="31"/>
  <c r="J53" i="31" s="1" a="1"/>
  <c r="J53" i="31" s="1"/>
  <c r="I59" i="31"/>
  <c r="J59" i="31" s="1" a="1"/>
  <c r="J59" i="31" s="1"/>
  <c r="I62" i="31"/>
  <c r="J62" i="31" s="1" a="1"/>
  <c r="J62" i="31" s="1"/>
  <c r="I68" i="31"/>
  <c r="J68" i="31" s="1" a="1"/>
  <c r="J68" i="31" s="1"/>
  <c r="I74" i="31"/>
  <c r="J74" i="31" s="1" a="1"/>
  <c r="J74" i="31" s="1"/>
  <c r="I80" i="31"/>
  <c r="J80" i="31" s="1" a="1"/>
  <c r="J80" i="31" s="1"/>
  <c r="I86" i="31"/>
  <c r="J86" i="31" s="1" a="1"/>
  <c r="J86" i="31" s="1"/>
  <c r="I92" i="31"/>
  <c r="J92" i="31" s="1" a="1"/>
  <c r="J92" i="31" s="1"/>
  <c r="I98" i="31"/>
  <c r="J98" i="31" s="1" a="1"/>
  <c r="J98" i="31" s="1"/>
  <c r="I104" i="31"/>
  <c r="J104" i="31" s="1" a="1"/>
  <c r="J104" i="31" s="1"/>
  <c r="I110" i="31"/>
  <c r="J110" i="31" s="1" a="1"/>
  <c r="J110" i="31" s="1"/>
  <c r="I116" i="31"/>
  <c r="J116" i="31" s="1" a="1"/>
  <c r="J116" i="31" s="1"/>
  <c r="I42" i="31"/>
  <c r="J42" i="31" s="1" a="1"/>
  <c r="J42" i="31" s="1"/>
  <c r="I48" i="31"/>
  <c r="J48" i="31" s="1" a="1"/>
  <c r="J48" i="31" s="1"/>
  <c r="I54" i="31"/>
  <c r="J54" i="31" s="1" a="1"/>
  <c r="J54" i="31" s="1"/>
  <c r="I60" i="31"/>
  <c r="J60" i="31" s="1" a="1"/>
  <c r="J60" i="31" s="1"/>
  <c r="I66" i="31"/>
  <c r="J66" i="31" s="1" a="1"/>
  <c r="J66" i="31" s="1"/>
  <c r="I75" i="31"/>
  <c r="J75" i="31" s="1" a="1"/>
  <c r="J75" i="31" s="1"/>
  <c r="I84" i="31"/>
  <c r="J84" i="31" s="1" a="1"/>
  <c r="J84" i="31" s="1"/>
  <c r="I93" i="31"/>
  <c r="J93" i="31" s="1" a="1"/>
  <c r="J93" i="31" s="1"/>
  <c r="I105" i="31"/>
  <c r="J105" i="31" s="1" a="1"/>
  <c r="J105" i="31" s="1"/>
  <c r="I117" i="31"/>
  <c r="J117" i="31" s="1" a="1"/>
  <c r="J117" i="31" s="1"/>
  <c r="I41" i="31"/>
  <c r="J41" i="31" s="1" a="1"/>
  <c r="J41" i="31" s="1"/>
  <c r="I50" i="31"/>
  <c r="J50" i="31" s="1" a="1"/>
  <c r="J50" i="31" s="1"/>
  <c r="I56" i="31"/>
  <c r="J56" i="31" s="1" a="1"/>
  <c r="J56" i="31" s="1"/>
  <c r="I65" i="31"/>
  <c r="J65" i="31" s="1" a="1"/>
  <c r="J65" i="31" s="1"/>
  <c r="I71" i="31"/>
  <c r="J71" i="31" s="1" a="1"/>
  <c r="J71" i="31" s="1"/>
  <c r="I77" i="31"/>
  <c r="J77" i="31" s="1" a="1"/>
  <c r="J77" i="31" s="1"/>
  <c r="I83" i="31"/>
  <c r="J83" i="31" s="1" a="1"/>
  <c r="J83" i="31" s="1"/>
  <c r="I89" i="31"/>
  <c r="J89" i="31" s="1" a="1"/>
  <c r="J89" i="31" s="1"/>
  <c r="I95" i="31"/>
  <c r="J95" i="31" s="1" a="1"/>
  <c r="J95" i="31" s="1"/>
  <c r="I101" i="31"/>
  <c r="J101" i="31" s="1" a="1"/>
  <c r="J101" i="31" s="1"/>
  <c r="I107" i="31"/>
  <c r="J107" i="31" s="1" a="1"/>
  <c r="J107" i="31" s="1"/>
  <c r="I113" i="31"/>
  <c r="J113" i="31" s="1" a="1"/>
  <c r="J113" i="31" s="1"/>
  <c r="I39" i="31"/>
  <c r="J39" i="31" s="1" a="1"/>
  <c r="J39" i="31" s="1"/>
  <c r="I51" i="31"/>
  <c r="J51" i="31" s="1" a="1"/>
  <c r="J51" i="31" s="1"/>
  <c r="I57" i="31"/>
  <c r="J57" i="31" s="1" a="1"/>
  <c r="J57" i="31" s="1"/>
  <c r="I63" i="31"/>
  <c r="J63" i="31" s="1" a="1"/>
  <c r="J63" i="31" s="1"/>
  <c r="I69" i="31"/>
  <c r="J69" i="31" s="1" a="1"/>
  <c r="J69" i="31" s="1"/>
  <c r="I72" i="31"/>
  <c r="J72" i="31" s="1" a="1"/>
  <c r="J72" i="31" s="1"/>
  <c r="I81" i="31"/>
  <c r="J81" i="31" s="1" a="1"/>
  <c r="J81" i="31" s="1"/>
  <c r="I87" i="31"/>
  <c r="J87" i="31" s="1" a="1"/>
  <c r="J87" i="31" s="1"/>
  <c r="I96" i="31"/>
  <c r="J96" i="31" s="1" a="1"/>
  <c r="J96" i="31" s="1"/>
  <c r="I108" i="31"/>
  <c r="J108" i="31" s="1" a="1"/>
  <c r="J108" i="31" s="1"/>
  <c r="I17" i="31"/>
  <c r="J17" i="31" s="1" a="1"/>
  <c r="J17" i="31" s="1"/>
  <c r="I21" i="31"/>
  <c r="J21" i="31" s="1" a="1"/>
  <c r="J21" i="31" s="1"/>
  <c r="I24" i="31"/>
  <c r="J24" i="31" s="1" a="1"/>
  <c r="J24" i="31" s="1"/>
  <c r="I30" i="31"/>
  <c r="J30" i="31" s="1" a="1"/>
  <c r="J30" i="31" s="1"/>
  <c r="I36" i="31"/>
  <c r="J36" i="31" s="1" a="1"/>
  <c r="J36" i="31" s="1"/>
  <c r="I37" i="31"/>
  <c r="J37" i="31" s="1" a="1"/>
  <c r="J37" i="31" s="1"/>
  <c r="I23" i="31"/>
  <c r="J23" i="31" s="1" a="1"/>
  <c r="J23" i="31" s="1"/>
  <c r="I35" i="31"/>
  <c r="J35" i="31" s="1" a="1"/>
  <c r="J35" i="31" s="1"/>
  <c r="I18" i="31"/>
  <c r="J18" i="31" s="1" a="1"/>
  <c r="J18" i="31" s="1"/>
  <c r="I27" i="31"/>
  <c r="J27" i="31" s="1" a="1"/>
  <c r="J27" i="31" s="1"/>
  <c r="I33" i="31"/>
  <c r="J33" i="31" s="1" a="1"/>
  <c r="J33" i="31" s="1"/>
  <c r="I31" i="31"/>
  <c r="J31" i="31" s="1" a="1"/>
  <c r="J31" i="31" s="1"/>
  <c r="I26" i="31"/>
  <c r="J26" i="31" s="1" a="1"/>
  <c r="J26" i="31" s="1"/>
  <c r="I32" i="31"/>
  <c r="J32" i="31" s="1" a="1"/>
  <c r="J32" i="31" s="1"/>
  <c r="I19" i="31"/>
  <c r="J19" i="31" s="1" a="1"/>
  <c r="J19" i="31" s="1"/>
  <c r="I22" i="31"/>
  <c r="J22" i="31" s="1" a="1"/>
  <c r="J22" i="31" s="1"/>
  <c r="I25" i="31"/>
  <c r="J25" i="31" s="1" a="1"/>
  <c r="J25" i="31" s="1"/>
  <c r="I28" i="31"/>
  <c r="J28" i="31" s="1" a="1"/>
  <c r="J28" i="31" s="1"/>
  <c r="I34" i="31"/>
  <c r="J34" i="31" s="1" a="1"/>
  <c r="J34" i="31" s="1"/>
  <c r="I20" i="31"/>
  <c r="J20" i="31" s="1" a="1"/>
  <c r="J20" i="31" s="1"/>
  <c r="I29" i="31"/>
  <c r="J29" i="31" s="1" a="1"/>
  <c r="J29" i="31" s="1"/>
  <c r="I38" i="31"/>
  <c r="J38" i="31" s="1" a="1"/>
  <c r="J38" i="31" s="1"/>
  <c r="I16" i="31"/>
  <c r="J16" i="31" s="1" a="1"/>
  <c r="J16" i="31" s="1"/>
  <c r="I15" i="31"/>
  <c r="J15" i="31" s="1" a="1"/>
  <c r="J15" i="31" s="1"/>
  <c r="I14" i="31"/>
  <c r="J14" i="31" s="1" a="1"/>
  <c r="J14" i="31" s="1"/>
  <c r="I9" i="31"/>
  <c r="J9" i="31" s="1" a="1"/>
  <c r="J9" i="31" s="1"/>
  <c r="I12" i="31"/>
  <c r="J12" i="31" s="1" a="1"/>
  <c r="J12" i="31" s="1"/>
  <c r="I4" i="31"/>
  <c r="J4" i="31" s="1" a="1"/>
  <c r="J4" i="31" s="1"/>
  <c r="I10" i="31"/>
  <c r="J10" i="31" s="1" a="1"/>
  <c r="J10" i="31" s="1"/>
  <c r="I5" i="31"/>
  <c r="J5" i="31" s="1" a="1"/>
  <c r="J5" i="31" s="1"/>
  <c r="I11" i="31"/>
  <c r="J11" i="31" s="1" a="1"/>
  <c r="J11" i="31" s="1"/>
  <c r="I6" i="31"/>
  <c r="J6" i="31" s="1" a="1"/>
  <c r="J6" i="31" s="1"/>
  <c r="I7" i="31"/>
  <c r="J7" i="31" s="1" a="1"/>
  <c r="J7" i="31" s="1"/>
  <c r="I13" i="31"/>
  <c r="J13" i="31" s="1" a="1"/>
  <c r="J13" i="31" s="1"/>
  <c r="I8" i="31"/>
  <c r="J8" i="31" s="1" a="1"/>
  <c r="J8" i="31" s="1"/>
  <c r="H2" i="31"/>
  <c r="D23" i="30" s="1"/>
  <c r="D8" i="7" a="1"/>
  <c r="D8" i="7" s="1"/>
  <c r="I3" i="31" a="1"/>
  <c r="K118" i="31" l="1"/>
  <c r="L118" i="31"/>
  <c r="K10" i="31"/>
  <c r="L10" i="31"/>
  <c r="K33" i="31"/>
  <c r="L33" i="31"/>
  <c r="K57" i="31"/>
  <c r="L57" i="31"/>
  <c r="K84" i="31"/>
  <c r="L84" i="31"/>
  <c r="K53" i="31"/>
  <c r="L53" i="31"/>
  <c r="K79" i="31"/>
  <c r="L79" i="31"/>
  <c r="K13" i="31"/>
  <c r="L13" i="31"/>
  <c r="K22" i="31"/>
  <c r="L22" i="31"/>
  <c r="K87" i="31"/>
  <c r="L87" i="31"/>
  <c r="K50" i="31"/>
  <c r="L50" i="31"/>
  <c r="K80" i="31"/>
  <c r="L80" i="31"/>
  <c r="K115" i="31"/>
  <c r="L115" i="31"/>
  <c r="K58" i="31"/>
  <c r="L58" i="31"/>
  <c r="K7" i="31"/>
  <c r="L7" i="31"/>
  <c r="K12" i="31"/>
  <c r="L12" i="31"/>
  <c r="K29" i="31"/>
  <c r="L29" i="31"/>
  <c r="K19" i="31"/>
  <c r="L19" i="31"/>
  <c r="K18" i="31"/>
  <c r="L18" i="31"/>
  <c r="K24" i="31"/>
  <c r="L24" i="31"/>
  <c r="K81" i="31"/>
  <c r="L81" i="31"/>
  <c r="K39" i="31"/>
  <c r="L39" i="31"/>
  <c r="K83" i="31"/>
  <c r="L83" i="31"/>
  <c r="K41" i="31"/>
  <c r="L41" i="31"/>
  <c r="K66" i="31"/>
  <c r="L66" i="31"/>
  <c r="K110" i="31"/>
  <c r="L110" i="31"/>
  <c r="K74" i="31"/>
  <c r="L74" i="31"/>
  <c r="K44" i="31"/>
  <c r="L44" i="31"/>
  <c r="K112" i="31"/>
  <c r="L112" i="31"/>
  <c r="K91" i="31"/>
  <c r="L91" i="31"/>
  <c r="K73" i="31"/>
  <c r="L73" i="31"/>
  <c r="K55" i="31"/>
  <c r="L55" i="31"/>
  <c r="K111" i="31"/>
  <c r="L111" i="31"/>
  <c r="K16" i="31"/>
  <c r="L16" i="31"/>
  <c r="K36" i="31"/>
  <c r="L36" i="31"/>
  <c r="K95" i="31"/>
  <c r="L95" i="31"/>
  <c r="K42" i="31"/>
  <c r="L42" i="31"/>
  <c r="K78" i="31"/>
  <c r="L78" i="31"/>
  <c r="K61" i="31"/>
  <c r="L61" i="31"/>
  <c r="K4" i="31"/>
  <c r="L4" i="31"/>
  <c r="K27" i="31"/>
  <c r="L27" i="31"/>
  <c r="K51" i="31"/>
  <c r="L51" i="31"/>
  <c r="K75" i="31"/>
  <c r="L75" i="31"/>
  <c r="K47" i="31"/>
  <c r="L47" i="31"/>
  <c r="K76" i="31"/>
  <c r="L76" i="31"/>
  <c r="K40" i="31"/>
  <c r="L40" i="31"/>
  <c r="K6" i="31"/>
  <c r="L6" i="31"/>
  <c r="K9" i="31"/>
  <c r="L9" i="31"/>
  <c r="K20" i="31"/>
  <c r="L20" i="31"/>
  <c r="K32" i="31"/>
  <c r="L32" i="31"/>
  <c r="K35" i="31"/>
  <c r="L35" i="31"/>
  <c r="K21" i="31"/>
  <c r="L21" i="31"/>
  <c r="K72" i="31"/>
  <c r="L72" i="31"/>
  <c r="K113" i="31"/>
  <c r="L113" i="31"/>
  <c r="K77" i="31"/>
  <c r="L77" i="31"/>
  <c r="K117" i="31"/>
  <c r="L117" i="31"/>
  <c r="K60" i="31"/>
  <c r="L60" i="31"/>
  <c r="K104" i="31"/>
  <c r="L104" i="31"/>
  <c r="K68" i="31"/>
  <c r="L68" i="31"/>
  <c r="K114" i="31"/>
  <c r="L114" i="31"/>
  <c r="K106" i="31"/>
  <c r="L106" i="31"/>
  <c r="K88" i="31"/>
  <c r="L88" i="31"/>
  <c r="K70" i="31"/>
  <c r="L70" i="31"/>
  <c r="K52" i="31"/>
  <c r="L52" i="31"/>
  <c r="K109" i="31"/>
  <c r="L109" i="31"/>
  <c r="K34" i="31"/>
  <c r="L34" i="31"/>
  <c r="K23" i="31"/>
  <c r="L23" i="31"/>
  <c r="K69" i="31"/>
  <c r="L69" i="31"/>
  <c r="K107" i="31"/>
  <c r="L107" i="31"/>
  <c r="K105" i="31"/>
  <c r="L105" i="31"/>
  <c r="K54" i="31"/>
  <c r="L54" i="31"/>
  <c r="K98" i="31"/>
  <c r="L98" i="31"/>
  <c r="K62" i="31"/>
  <c r="L62" i="31"/>
  <c r="K102" i="31"/>
  <c r="L102" i="31"/>
  <c r="K103" i="31"/>
  <c r="L103" i="31"/>
  <c r="K85" i="31"/>
  <c r="L85" i="31"/>
  <c r="K67" i="31"/>
  <c r="L67" i="31"/>
  <c r="K49" i="31"/>
  <c r="L49" i="31"/>
  <c r="K99" i="31"/>
  <c r="L99" i="31"/>
  <c r="K8" i="31"/>
  <c r="L8" i="31"/>
  <c r="K25" i="31"/>
  <c r="L25" i="31"/>
  <c r="K96" i="31"/>
  <c r="L96" i="31"/>
  <c r="K56" i="31"/>
  <c r="L56" i="31"/>
  <c r="K86" i="31"/>
  <c r="L86" i="31"/>
  <c r="K97" i="31"/>
  <c r="L97" i="31"/>
  <c r="K43" i="31"/>
  <c r="L43" i="31"/>
  <c r="K38" i="31"/>
  <c r="L38" i="31"/>
  <c r="K30" i="31"/>
  <c r="L30" i="31"/>
  <c r="K89" i="31"/>
  <c r="L89" i="31"/>
  <c r="K116" i="31"/>
  <c r="L116" i="31"/>
  <c r="K94" i="31"/>
  <c r="L94" i="31"/>
  <c r="K11" i="31"/>
  <c r="L11" i="31"/>
  <c r="K14" i="31"/>
  <c r="L14" i="31"/>
  <c r="K26" i="31"/>
  <c r="L26" i="31"/>
  <c r="K17" i="31"/>
  <c r="L17" i="31"/>
  <c r="K71" i="31"/>
  <c r="L71" i="31"/>
  <c r="K5" i="31"/>
  <c r="L5" i="31"/>
  <c r="K15" i="31"/>
  <c r="L15" i="31"/>
  <c r="K28" i="31"/>
  <c r="L28" i="31"/>
  <c r="K31" i="31"/>
  <c r="L31" i="31"/>
  <c r="K37" i="31"/>
  <c r="L37" i="31"/>
  <c r="K108" i="31"/>
  <c r="L108" i="31"/>
  <c r="K63" i="31"/>
  <c r="L63" i="31"/>
  <c r="K101" i="31"/>
  <c r="L101" i="31"/>
  <c r="K65" i="31"/>
  <c r="L65" i="31"/>
  <c r="K93" i="31"/>
  <c r="L93" i="31"/>
  <c r="K48" i="31"/>
  <c r="L48" i="31"/>
  <c r="K92" i="31"/>
  <c r="L92" i="31"/>
  <c r="K59" i="31"/>
  <c r="L59" i="31"/>
  <c r="K90" i="31"/>
  <c r="L90" i="31"/>
  <c r="K100" i="31"/>
  <c r="L100" i="31"/>
  <c r="K82" i="31"/>
  <c r="L82" i="31"/>
  <c r="K64" i="31"/>
  <c r="L64" i="31"/>
  <c r="K46" i="31"/>
  <c r="L46" i="31"/>
  <c r="K45" i="31"/>
  <c r="L45" i="31"/>
  <c r="I3" i="31"/>
  <c r="J3" i="31" s="1" a="1"/>
  <c r="J3" i="31" s="1"/>
  <c r="C23" i="30"/>
  <c r="E23" i="30" s="1"/>
  <c r="G2" i="7" a="1"/>
  <c r="Z1" i="10" a="1"/>
  <c r="E22" i="11" a="1"/>
  <c r="E22" i="11" s="1"/>
  <c r="F22" i="11" a="1"/>
  <c r="F22" i="11" s="1"/>
  <c r="B14" i="7"/>
  <c r="K3" i="31" l="1"/>
  <c r="H23" i="30" s="1"/>
  <c r="L3" i="31"/>
  <c r="F23" i="30"/>
  <c r="G23" i="30"/>
  <c r="G2" i="7"/>
  <c r="C15" i="11" a="1"/>
  <c r="C15" i="11" s="1"/>
  <c r="Z1" i="10"/>
  <c r="X2" i="10"/>
  <c r="Y2" i="10"/>
  <c r="M13" i="11"/>
  <c r="P13" i="11" s="1"/>
  <c r="Q13" i="11" s="1"/>
  <c r="M12" i="11"/>
  <c r="P12" i="11" s="1"/>
  <c r="Q12" i="11" s="1"/>
  <c r="M11" i="11"/>
  <c r="P11" i="11" s="1"/>
  <c r="Q11" i="11" s="1"/>
  <c r="D6" i="11"/>
  <c r="C6" i="11"/>
  <c r="U137" i="10"/>
  <c r="U136" i="10"/>
  <c r="U135" i="10"/>
  <c r="U134" i="10"/>
  <c r="U133" i="10"/>
  <c r="U132" i="10"/>
  <c r="U131" i="10"/>
  <c r="U130" i="10"/>
  <c r="U129" i="10"/>
  <c r="U128" i="10"/>
  <c r="U127" i="10"/>
  <c r="U126" i="10"/>
  <c r="U125" i="10"/>
  <c r="U124" i="10"/>
  <c r="U123" i="10"/>
  <c r="U122" i="10"/>
  <c r="U121" i="10"/>
  <c r="U120" i="10"/>
  <c r="U119" i="10"/>
  <c r="U118" i="10"/>
  <c r="U117" i="10"/>
  <c r="U116" i="10"/>
  <c r="U115" i="10"/>
  <c r="U114" i="10"/>
  <c r="U113" i="10"/>
  <c r="U112" i="10"/>
  <c r="U111" i="10"/>
  <c r="U110" i="10"/>
  <c r="U109" i="10"/>
  <c r="U108" i="10"/>
  <c r="U107" i="10"/>
  <c r="U106" i="10"/>
  <c r="U105" i="10"/>
  <c r="U104" i="10"/>
  <c r="U103" i="10"/>
  <c r="U102" i="10"/>
  <c r="U101" i="10"/>
  <c r="U100" i="10"/>
  <c r="U99" i="10"/>
  <c r="U98" i="10"/>
  <c r="U97" i="10"/>
  <c r="U96" i="10"/>
  <c r="U95" i="10"/>
  <c r="U94" i="10"/>
  <c r="U93" i="10"/>
  <c r="U92" i="10"/>
  <c r="U91" i="10"/>
  <c r="U90" i="10"/>
  <c r="U89" i="10"/>
  <c r="U88" i="10"/>
  <c r="U87" i="10"/>
  <c r="U86" i="10"/>
  <c r="U85" i="10"/>
  <c r="U84" i="10"/>
  <c r="U83" i="10"/>
  <c r="U82" i="10"/>
  <c r="U81" i="10"/>
  <c r="U80" i="10"/>
  <c r="U79" i="10"/>
  <c r="U78" i="10"/>
  <c r="U77" i="10"/>
  <c r="U76" i="10"/>
  <c r="U75" i="10"/>
  <c r="U74" i="10"/>
  <c r="U73" i="10"/>
  <c r="U72" i="10"/>
  <c r="U71" i="10"/>
  <c r="U70" i="10"/>
  <c r="U69" i="10"/>
  <c r="U68" i="10"/>
  <c r="U67" i="10"/>
  <c r="U66" i="10"/>
  <c r="U65" i="10"/>
  <c r="U64" i="10"/>
  <c r="U63" i="10"/>
  <c r="U62" i="10"/>
  <c r="U61" i="10"/>
  <c r="U60" i="10"/>
  <c r="U59" i="10"/>
  <c r="U58" i="10"/>
  <c r="U57" i="10"/>
  <c r="U56" i="10"/>
  <c r="U55" i="10"/>
  <c r="U54" i="10"/>
  <c r="U53" i="10"/>
  <c r="U52" i="10"/>
  <c r="U51" i="10"/>
  <c r="U50" i="10"/>
  <c r="U49" i="10"/>
  <c r="U48" i="10"/>
  <c r="U47" i="10"/>
  <c r="U46" i="10"/>
  <c r="U45" i="10"/>
  <c r="U44" i="10"/>
  <c r="U43" i="10"/>
  <c r="U42" i="10"/>
  <c r="U41" i="10"/>
  <c r="U40" i="10"/>
  <c r="U39" i="10"/>
  <c r="U38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E24" i="10"/>
  <c r="C30" i="10" s="1"/>
  <c r="U23" i="10"/>
  <c r="E23" i="10"/>
  <c r="U22" i="10"/>
  <c r="C22" i="10"/>
  <c r="C29" i="10" s="1"/>
  <c r="U21" i="10"/>
  <c r="U20" i="10"/>
  <c r="U19" i="10"/>
  <c r="U18" i="10"/>
  <c r="U17" i="10"/>
  <c r="U16" i="10"/>
  <c r="U15" i="10"/>
  <c r="U14" i="10"/>
  <c r="U13" i="10"/>
  <c r="M13" i="10"/>
  <c r="P13" i="10" s="1"/>
  <c r="Q13" i="10" s="1"/>
  <c r="U12" i="10"/>
  <c r="M12" i="10"/>
  <c r="P12" i="10" s="1"/>
  <c r="Q12" i="10" s="1"/>
  <c r="U11" i="10"/>
  <c r="M11" i="10"/>
  <c r="P11" i="10" s="1"/>
  <c r="Q11" i="10" s="1"/>
  <c r="U10" i="10"/>
  <c r="U9" i="10"/>
  <c r="U8" i="10"/>
  <c r="U7" i="10"/>
  <c r="U6" i="10"/>
  <c r="T2" i="10" s="1"/>
  <c r="D6" i="10"/>
  <c r="C6" i="10"/>
  <c r="U5" i="10"/>
  <c r="U4" i="10"/>
  <c r="U3" i="10"/>
  <c r="U2" i="10"/>
  <c r="S2" i="10" s="1"/>
  <c r="D6" i="9"/>
  <c r="C6" i="9"/>
  <c r="E23" i="8"/>
  <c r="C22" i="8"/>
  <c r="C29" i="8" s="1"/>
  <c r="M13" i="8"/>
  <c r="P13" i="8" s="1"/>
  <c r="Q13" i="8" s="1"/>
  <c r="M12" i="8"/>
  <c r="P12" i="8" s="1"/>
  <c r="Q12" i="8" s="1"/>
  <c r="M11" i="8"/>
  <c r="P11" i="8" s="1"/>
  <c r="Q11" i="8" s="1"/>
  <c r="D6" i="8"/>
  <c r="C6" i="8"/>
  <c r="V110" i="10" l="1"/>
  <c r="V116" i="10"/>
  <c r="V122" i="10"/>
  <c r="I9" i="9"/>
  <c r="I8" i="10"/>
  <c r="I9" i="10"/>
  <c r="I7" i="10"/>
  <c r="I6" i="9"/>
  <c r="I5" i="10"/>
  <c r="I5" i="9"/>
  <c r="I7" i="9"/>
  <c r="I6" i="8"/>
  <c r="I6" i="11"/>
  <c r="I8" i="9"/>
  <c r="C35" i="11"/>
  <c r="C22" i="11"/>
  <c r="C29" i="11" s="1"/>
  <c r="E23" i="11"/>
  <c r="E24" i="11" s="1"/>
  <c r="C30" i="11" s="1"/>
  <c r="I7" i="11"/>
  <c r="I4" i="11"/>
  <c r="I8" i="11"/>
  <c r="I5" i="11"/>
  <c r="I9" i="11"/>
  <c r="V44" i="10"/>
  <c r="V74" i="10"/>
  <c r="V128" i="10"/>
  <c r="V16" i="10"/>
  <c r="V31" i="10"/>
  <c r="V37" i="10"/>
  <c r="V43" i="10"/>
  <c r="V49" i="10"/>
  <c r="V55" i="10"/>
  <c r="V61" i="10"/>
  <c r="V67" i="10"/>
  <c r="V73" i="10"/>
  <c r="V79" i="10"/>
  <c r="V85" i="10"/>
  <c r="V91" i="10"/>
  <c r="V97" i="10"/>
  <c r="V103" i="10"/>
  <c r="V109" i="10"/>
  <c r="V115" i="10"/>
  <c r="V121" i="10"/>
  <c r="V127" i="10"/>
  <c r="V133" i="10"/>
  <c r="V24" i="10"/>
  <c r="V12" i="10"/>
  <c r="V5" i="10"/>
  <c r="V2" i="10"/>
  <c r="V27" i="10"/>
  <c r="V22" i="10"/>
  <c r="V9" i="10"/>
  <c r="V7" i="10"/>
  <c r="V26" i="10"/>
  <c r="V3" i="10"/>
  <c r="V28" i="10"/>
  <c r="V10" i="10"/>
  <c r="V30" i="10"/>
  <c r="V25" i="10"/>
  <c r="V17" i="10"/>
  <c r="V32" i="10"/>
  <c r="V38" i="10"/>
  <c r="V50" i="10"/>
  <c r="V56" i="10"/>
  <c r="V62" i="10"/>
  <c r="V68" i="10"/>
  <c r="V80" i="10"/>
  <c r="V86" i="10"/>
  <c r="V92" i="10"/>
  <c r="V98" i="10"/>
  <c r="V104" i="10"/>
  <c r="V134" i="10"/>
  <c r="V4" i="10"/>
  <c r="V18" i="10"/>
  <c r="C31" i="10"/>
  <c r="V33" i="10"/>
  <c r="V39" i="10"/>
  <c r="V45" i="10"/>
  <c r="V51" i="10"/>
  <c r="V57" i="10"/>
  <c r="V63" i="10"/>
  <c r="V69" i="10"/>
  <c r="V75" i="10"/>
  <c r="V81" i="10"/>
  <c r="V87" i="10"/>
  <c r="V93" i="10"/>
  <c r="V99" i="10"/>
  <c r="V105" i="10"/>
  <c r="V111" i="10"/>
  <c r="V117" i="10"/>
  <c r="V123" i="10"/>
  <c r="V129" i="10"/>
  <c r="V135" i="10"/>
  <c r="V13" i="10"/>
  <c r="V19" i="10"/>
  <c r="V23" i="10"/>
  <c r="V34" i="10"/>
  <c r="V40" i="10"/>
  <c r="V46" i="10"/>
  <c r="V52" i="10"/>
  <c r="V58" i="10"/>
  <c r="V64" i="10"/>
  <c r="V70" i="10"/>
  <c r="V76" i="10"/>
  <c r="V82" i="10"/>
  <c r="V88" i="10"/>
  <c r="V94" i="10"/>
  <c r="V100" i="10"/>
  <c r="V106" i="10"/>
  <c r="V112" i="10"/>
  <c r="V118" i="10"/>
  <c r="V124" i="10"/>
  <c r="V130" i="10"/>
  <c r="V136" i="10"/>
  <c r="V8" i="10"/>
  <c r="V11" i="10"/>
  <c r="V14" i="10"/>
  <c r="V20" i="10"/>
  <c r="V29" i="10"/>
  <c r="V35" i="10"/>
  <c r="V41" i="10"/>
  <c r="V47" i="10"/>
  <c r="V53" i="10"/>
  <c r="V59" i="10"/>
  <c r="V65" i="10"/>
  <c r="V71" i="10"/>
  <c r="V77" i="10"/>
  <c r="V83" i="10"/>
  <c r="V89" i="10"/>
  <c r="V95" i="10"/>
  <c r="V101" i="10"/>
  <c r="V107" i="10"/>
  <c r="V113" i="10"/>
  <c r="V119" i="10"/>
  <c r="V125" i="10"/>
  <c r="V131" i="10"/>
  <c r="V137" i="10"/>
  <c r="V15" i="10"/>
  <c r="V21" i="10"/>
  <c r="V36" i="10"/>
  <c r="V42" i="10"/>
  <c r="V48" i="10"/>
  <c r="V54" i="10"/>
  <c r="V60" i="10"/>
  <c r="V66" i="10"/>
  <c r="V72" i="10"/>
  <c r="V78" i="10"/>
  <c r="V84" i="10"/>
  <c r="V90" i="10"/>
  <c r="V96" i="10"/>
  <c r="V102" i="10"/>
  <c r="V108" i="10"/>
  <c r="V114" i="10"/>
  <c r="V120" i="10"/>
  <c r="V126" i="10"/>
  <c r="V132" i="10"/>
  <c r="V6" i="10"/>
  <c r="I4" i="10"/>
  <c r="I6" i="10"/>
  <c r="I4" i="9"/>
  <c r="I7" i="8"/>
  <c r="I4" i="8"/>
  <c r="I8" i="8"/>
  <c r="I5" i="8"/>
  <c r="I9" i="8"/>
  <c r="E24" i="8"/>
  <c r="C30" i="8" s="1"/>
  <c r="I28" i="9" l="1"/>
  <c r="C31" i="11"/>
  <c r="C3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67C64E-7EDE-4685-97B6-51E38A442605}" keepAlive="1" name="Connection" type="5" refreshedVersion="0" background="1">
    <dbPr connection="Provider=Microsoft.Mashup.OleDb.1;Data Source=$Workbook$;Location=Haul_Report_Json_Import;Extended Properties=&quot;&quot;" commandType="0"/>
  </connection>
  <connection id="2" xr16:uid="{852F8373-EC20-4305-BA6F-61EBD5778698}" keepAlive="1" interval="1" name="Connection1" type="5" refreshedVersion="6" background="1" refreshOnLoad="1" saveData="1">
    <dbPr connection="Provider=Microsoft.Mashup.OleDb.1;Data Source=$Workbook$;Location=Haul_Report_Json_Import;Extended Properties=&quot;&quot;" command="SELECT * FROM [Haul_Report_Json_Import]"/>
  </connection>
  <connection id="3" xr16:uid="{5A35B389-E9BE-4CFD-B550-F03AFCA6DB6A}" keepAlive="1" interval="1" name="Connection2" type="5" refreshedVersion="6" background="1" saveData="1">
    <dbPr connection="Provider=Microsoft.Mashup.OleDb.1;Data Source=$Workbook$;Location=Haul_Report_Json_Import;Extended Properties=&quot;&quot;" command="SELECT * FROM [Haul_Report_Json_Import]"/>
  </connection>
  <connection id="4" xr16:uid="{DAF76440-EEDD-4366-ADDC-BF44F63E79F7}" keepAlive="1" name="Connection3" type="5" refreshedVersion="0" background="1">
    <dbPr connection="Provider=Microsoft.Mashup.OleDb.1;Data Source=$Workbook$;Location=Haul_Report_Json_Import;Extended Properties=&quot;&quot;" commandType="0"/>
  </connection>
  <connection id="5" xr16:uid="{98559BC9-5AAC-406A-8A18-AC7E1C554705}" keepAlive="1" name="Connection4" type="5" refreshedVersion="0" background="1">
    <dbPr connection="Provider=Microsoft.Mashup.OleDb.1;Data Source=$Workbook$;Location=Trail_Json_Import;Extended Properties=&quot;&quot;" commandType="0"/>
  </connection>
  <connection id="6" xr16:uid="{C3B9050D-5ED0-43CE-8813-7EA17B0FF37B}" keepAlive="1" interval="1" name="Connection5" type="5" refreshedVersion="6" background="1" saveData="1">
    <dbPr connection="Provider=Microsoft.Mashup.OleDb.1;Data Source=$Workbook$;Location=Trail_Json_Import;Extended Properties=&quot;&quot;" command="SELECT * FROM [Trail_Json_Import]"/>
  </connection>
  <connection id="7" xr16:uid="{C856DA23-ABCC-489A-ACF0-A9C22E4D55C4}" keepAlive="1" interval="1" name="Query - Haul_Report_Json_Import" description="Connection to the 'Haul_Report_Json_Import' query in the workbook." type="5" refreshedVersion="6" background="1" saveData="1">
    <dbPr connection="Provider=Microsoft.Mashup.OleDb.1;Data Source=$Workbook$;Location=Haul_Report_Json_Import;Extended Properties=&quot;&quot;" command="SELECT * FROM [Haul_Report_Json_Import]"/>
  </connection>
  <connection id="8" xr16:uid="{9B1B205B-02BF-4610-95AB-0E8DEB4FA753}" keepAlive="1" interval="1" name="Query - Trail_Json_Import" description="Connection to the 'Trail_Json_Import' query in the workbook." type="5" refreshedVersion="6" minRefreshableVersion="3" background="1" saveData="1">
    <dbPr connection="Provider=Microsoft.Mashup.OleDb.1;Data Source=$Workbook$;Location=Trail_Json_Import;Extended Properties=&quot;&quot;" command="SELECT * FROM [Trail_Json_Impor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<sst xmlns="http://schemas.openxmlformats.org/spreadsheetml/2006/main" count="3020" uniqueCount="910">
  <si>
    <t>Material</t>
  </si>
  <si>
    <t>Total</t>
  </si>
  <si>
    <t>Distance</t>
  </si>
  <si>
    <t>Martin Kennedy</t>
  </si>
  <si>
    <t>Unsuitable</t>
  </si>
  <si>
    <t>volume</t>
  </si>
  <si>
    <t>Default</t>
  </si>
  <si>
    <t>gary lever</t>
  </si>
  <si>
    <t>John ross whaitn</t>
  </si>
  <si>
    <t>c mcdonald</t>
  </si>
  <si>
    <t>C Sleith</t>
  </si>
  <si>
    <t>tommy orrick</t>
  </si>
  <si>
    <t>Slab Cover</t>
  </si>
  <si>
    <t>Earthworks Cut</t>
  </si>
  <si>
    <t>Site ID</t>
  </si>
  <si>
    <t>OAuth Client ID</t>
  </si>
  <si>
    <t>Oauth Client Secret</t>
  </si>
  <si>
    <t>Oauth Scope</t>
  </si>
  <si>
    <t>Machine Fleet</t>
  </si>
  <si>
    <t>Ave Dump Dist Ave</t>
  </si>
  <si>
    <t>Ave Dump Dist Std Dev</t>
  </si>
  <si>
    <t>Normal Distribution</t>
  </si>
  <si>
    <t>Ave Load Time</t>
  </si>
  <si>
    <t>Ave Load Time Std Dev</t>
  </si>
  <si>
    <t>Average Load Distance</t>
  </si>
  <si>
    <t>Slowest Load Time</t>
  </si>
  <si>
    <t>Fasted Load time</t>
  </si>
  <si>
    <t>Std deviation</t>
  </si>
  <si>
    <t>Average Load Distance by Operator</t>
  </si>
  <si>
    <t>Quantity (m3)</t>
  </si>
  <si>
    <t>Target</t>
  </si>
  <si>
    <t>Cost</t>
  </si>
  <si>
    <t>%</t>
  </si>
  <si>
    <t>% Remaining</t>
  </si>
  <si>
    <t>Hauled</t>
  </si>
  <si>
    <t>Category</t>
  </si>
  <si>
    <t>Remaining</t>
  </si>
  <si>
    <t>Stats Min</t>
  </si>
  <si>
    <t>Actial</t>
  </si>
  <si>
    <t>Expected</t>
  </si>
  <si>
    <t>Pointer</t>
  </si>
  <si>
    <t>Start</t>
  </si>
  <si>
    <t>Width</t>
  </si>
  <si>
    <t>End</t>
  </si>
  <si>
    <t>Ave Load Phase Elapsed</t>
  </si>
  <si>
    <t>Load Phase Elapsed Decimal</t>
  </si>
  <si>
    <t>Std Dev Load Phase Elapsed</t>
  </si>
  <si>
    <t>Unit Cost</t>
  </si>
  <si>
    <t>Expected Quantity over Report Period</t>
  </si>
  <si>
    <t>Total Quantity</t>
  </si>
  <si>
    <t>Actual</t>
  </si>
  <si>
    <t>Index and Material name from combo box on Progress tab</t>
  </si>
  <si>
    <t>Total Quantity to Haul</t>
  </si>
  <si>
    <t>point to folder</t>
  </si>
  <si>
    <t>or point to file</t>
  </si>
  <si>
    <t>or direct from source (create report)</t>
  </si>
  <si>
    <t>fuel consumption / elevation increase decrease over hauls.</t>
  </si>
  <si>
    <t>fine tune bids. Over road hauls. Limit on inclines that trucks go over</t>
  </si>
  <si>
    <t xml:space="preserve">elevation and speed thresholds </t>
  </si>
  <si>
    <t xml:space="preserve">extract bread crumb info for a particular row / haul. Url is attached to each row. </t>
  </si>
  <si>
    <t>map to display breadcrumbs</t>
  </si>
  <si>
    <t>Column1.bin</t>
  </si>
  <si>
    <t>Column1.closed_ms</t>
  </si>
  <si>
    <t>Column1.comments</t>
  </si>
  <si>
    <t>Column1.converted.axis</t>
  </si>
  <si>
    <t>Column1.converted.quantity</t>
  </si>
  <si>
    <t>Column1.converted.state</t>
  </si>
  <si>
    <t>Column1.converted.unit</t>
  </si>
  <si>
    <t>Column1.displacement</t>
  </si>
  <si>
    <t>Column1.distance.empty</t>
  </si>
  <si>
    <t>Column1.distance.loaded</t>
  </si>
  <si>
    <t>Column1.distance.total</t>
  </si>
  <si>
    <t>Column1.duration.total</t>
  </si>
  <si>
    <t>Column1.duration.empty</t>
  </si>
  <si>
    <t>Column1.duration.loaded</t>
  </si>
  <si>
    <t>Column1.end</t>
  </si>
  <si>
    <t>Column1.first_coordinate.alt</t>
  </si>
  <si>
    <t>Column1.first_coordinate.at</t>
  </si>
  <si>
    <t>Column1.first_coordinate.distance</t>
  </si>
  <si>
    <t>Column1.first_coordinate.easting</t>
  </si>
  <si>
    <t>Column1.first_coordinate.haul_uuid</t>
  </si>
  <si>
    <t>Column1.first_coordinate.height</t>
  </si>
  <si>
    <t>Column1.first_coordinate.lat</t>
  </si>
  <si>
    <t>Column1.first_coordinate.lng</t>
  </si>
  <si>
    <t>Column1.first_coordinate.machine_urn</t>
  </si>
  <si>
    <t>Column1.first_coordinate.northing</t>
  </si>
  <si>
    <t>Column1.first_ms</t>
  </si>
  <si>
    <t>Column1.last_coordinate.alt</t>
  </si>
  <si>
    <t>Column1.last_coordinate.at</t>
  </si>
  <si>
    <t>Column1.last_coordinate.distance</t>
  </si>
  <si>
    <t>Column1.last_coordinate.easting</t>
  </si>
  <si>
    <t>Column1.last_coordinate.haul_uuid</t>
  </si>
  <si>
    <t>Column1.last_coordinate.height</t>
  </si>
  <si>
    <t>Column1.last_coordinate.lat</t>
  </si>
  <si>
    <t>Column1.last_coordinate.lng</t>
  </si>
  <si>
    <t>Column1.last_coordinate.machine_urn</t>
  </si>
  <si>
    <t>Column1.last_coordinate.northing</t>
  </si>
  <si>
    <t>Column1.last_ms</t>
  </si>
  <si>
    <t>Column1.line</t>
  </si>
  <si>
    <t>Column1.load_coordinate.alt</t>
  </si>
  <si>
    <t>Column1.load_coordinate.at</t>
  </si>
  <si>
    <t>Column1.load_coordinate.distance</t>
  </si>
  <si>
    <t>Column1.load_coordinate.easting</t>
  </si>
  <si>
    <t>Column1.load_coordinate.haul_uuid</t>
  </si>
  <si>
    <t>Column1.load_coordinate.height</t>
  </si>
  <si>
    <t>Column1.load_coordinate.lat</t>
  </si>
  <si>
    <t>Column1.load_coordinate.lng</t>
  </si>
  <si>
    <t>Column1.load_coordinate.machine_urn</t>
  </si>
  <si>
    <t>Column1.load_coordinate.northing</t>
  </si>
  <si>
    <t>Column1.load_ms</t>
  </si>
  <si>
    <t>Column1.load_region</t>
  </si>
  <si>
    <t>Column1.load_region_uuid</t>
  </si>
  <si>
    <t>Column1.machine</t>
  </si>
  <si>
    <t>Column1.machine_uuid</t>
  </si>
  <si>
    <t>Column1.material_axis</t>
  </si>
  <si>
    <t>Column1.material_state</t>
  </si>
  <si>
    <t>Column1.material_unit</t>
  </si>
  <si>
    <t>Column1.material_uuid</t>
  </si>
  <si>
    <t>Column1.operator</t>
  </si>
  <si>
    <t>Column1.operator_uuid</t>
  </si>
  <si>
    <t>Column1.ordinates</t>
  </si>
  <si>
    <t>Column1.quantity</t>
  </si>
  <si>
    <t>Column1.raw.axis</t>
  </si>
  <si>
    <t>Column1.raw.quantity</t>
  </si>
  <si>
    <t>Column1.raw.state</t>
  </si>
  <si>
    <t>Column1.raw.unit</t>
  </si>
  <si>
    <t>Column1.start</t>
  </si>
  <si>
    <t>Column1.status</t>
  </si>
  <si>
    <t>Column1.task</t>
  </si>
  <si>
    <t>Column1.task_uuid</t>
  </si>
  <si>
    <t>Column1.time</t>
  </si>
  <si>
    <t>Column1.trails_uri</t>
  </si>
  <si>
    <t>Column1.trails_url</t>
  </si>
  <si>
    <t>Column1.type</t>
  </si>
  <si>
    <t>Column1.uuid</t>
  </si>
  <si>
    <t>Column1.wat</t>
  </si>
  <si>
    <t>Column1.counter</t>
  </si>
  <si>
    <t>Column1.dump_coordinate.alt</t>
  </si>
  <si>
    <t>Column1.dump_coordinate.at</t>
  </si>
  <si>
    <t>Column1.dump_coordinate.distance</t>
  </si>
  <si>
    <t>Column1.dump_coordinate.easting</t>
  </si>
  <si>
    <t>Column1.dump_coordinate.haul_uuid</t>
  </si>
  <si>
    <t>Column1.dump_coordinate.height</t>
  </si>
  <si>
    <t>Column1.dump_coordinate.lat</t>
  </si>
  <si>
    <t>Column1.dump_coordinate.lng</t>
  </si>
  <si>
    <t>Column1.dump_coordinate.machine_urn</t>
  </si>
  <si>
    <t>Column1.dump_coordinate.northing</t>
  </si>
  <si>
    <t>Column1.dump_ms</t>
  </si>
  <si>
    <t>Column1.dump_region</t>
  </si>
  <si>
    <t>Column1.dump_region_uuid</t>
  </si>
  <si>
    <t>[List]</t>
  </si>
  <si>
    <t>cubic_metres</t>
  </si>
  <si>
    <t>haul</t>
  </si>
  <si>
    <t>CYCLED</t>
  </si>
  <si>
    <t>COMPLETE</t>
  </si>
  <si>
    <t>Haul Row</t>
  </si>
  <si>
    <t>Trails UUID:</t>
  </si>
  <si>
    <t>Trails UUID Index:</t>
  </si>
  <si>
    <t>Column1.alt</t>
  </si>
  <si>
    <t>Column1.at</t>
  </si>
  <si>
    <t>Column1.distance</t>
  </si>
  <si>
    <t>Column1.easting</t>
  </si>
  <si>
    <t>Column1.haul_uuid</t>
  </si>
  <si>
    <t>Column1.height</t>
  </si>
  <si>
    <t>Column1.lat</t>
  </si>
  <si>
    <t>Column1.lng</t>
  </si>
  <si>
    <t>Column1.machine_urn</t>
  </si>
  <si>
    <t>Column1.northing</t>
  </si>
  <si>
    <t>Column1.state</t>
  </si>
  <si>
    <t>empty</t>
  </si>
  <si>
    <t>File Path</t>
  </si>
  <si>
    <t>Truck</t>
  </si>
  <si>
    <t>91c2e863-ee5e-459e-ba9b-f5c4c8c4b29a</t>
  </si>
  <si>
    <t>urn:X-topcon:machine:ac:truck:oem:nonesuch:model::sn::id:M02-095</t>
  </si>
  <si>
    <t>R02-machine-095</t>
  </si>
  <si>
    <t>Fill Dirt</t>
  </si>
  <si>
    <t>6d099e50-53b4-4000-8a02-d1814be60fe6</t>
  </si>
  <si>
    <t>Operator R02-O095</t>
  </si>
  <si>
    <t>Operator-R02095</t>
  </si>
  <si>
    <t>DUMPED</t>
  </si>
  <si>
    <t>Haul Fill Dirt</t>
  </si>
  <si>
    <t>6a6d6e7a-6a38-4ccb-ba2a-48736ca7e32a</t>
  </si>
  <si>
    <t>/sparkreports/v1/sites/65f442f850fb845c6038232d2c081b1c/jobs/2600630a-ff0f-11eb-baa1-a0cec8da9a51/hauls/91c2e863-ee5e-459e-ba9b-f5c4c8c4b29a/trails?column=coordinates</t>
  </si>
  <si>
    <t>https://us-qa-api.sitelink.topcon.com:443/sparkreports/v1/sites/65f442f850fb845c6038232d2c081b1c/jobs/2600630a-ff0f-11eb-baa1-a0cec8da9a51/hauls/91c2e863-ee5e-459e-ba9b-f5c4c8c4b29a/trails?column=coordinates</t>
  </si>
  <si>
    <t>Airport - Dump Fill Dirt</t>
  </si>
  <si>
    <t>657cbef6-3e47-49c8-8761-eacff5666e36</t>
  </si>
  <si>
    <t>605c763d-1d43-4429-be95-3a98a081d19d</t>
  </si>
  <si>
    <t>urn:X-topcon:machine:ac:truck:oem:nonesuch:model::sn::id:M01-039</t>
  </si>
  <si>
    <t>R01-machine-039</t>
  </si>
  <si>
    <t>3/4 Aggregate Base</t>
  </si>
  <si>
    <t>5e721a45-720f-4d1a-9d6b-20b29b209a45</t>
  </si>
  <si>
    <t>Operator R01-O039</t>
  </si>
  <si>
    <t>Operator-R01039</t>
  </si>
  <si>
    <t>Haul 3/4 Base</t>
  </si>
  <si>
    <t>e70af9d3-7178-45da-ab0c-2c7e4a7becf9</t>
  </si>
  <si>
    <t>/sparkreports/v1/sites/65f442f850fb845c6038232d2c081b1c/jobs/2600630a-ff0f-11eb-baa1-a0cec8da9a51/hauls/605c763d-1d43-4429-be95-3a98a081d19d/trails?column=coordinates</t>
  </si>
  <si>
    <t>https://us-qa-api.sitelink.topcon.com:443/sparkreports/v1/sites/65f442f850fb845c6038232d2c081b1c/jobs/2600630a-ff0f-11eb-baa1-a0cec8da9a51/hauls/605c763d-1d43-4429-be95-3a98a081d19d/trails?column=coordinates</t>
  </si>
  <si>
    <t>Stockpile - Dump</t>
  </si>
  <si>
    <t>1d3fc5ca-8227-40c1-8c9f-f67cd330d02f</t>
  </si>
  <si>
    <t>12a39ccb-c8bf-424a-a6eb-0585cff90a2c</t>
  </si>
  <si>
    <t>urn:X-topcon:machine:ac:truck:oem:nonesuch:model::sn::id:M01-049</t>
  </si>
  <si>
    <t>R01-machine-049</t>
  </si>
  <si>
    <t>Broken Concrete</t>
  </si>
  <si>
    <t>c7b3f680-ed4a-4c3b-8a6e-5243d365e194</t>
  </si>
  <si>
    <t>Operator R01-O049</t>
  </si>
  <si>
    <t>Operator-R01049</t>
  </si>
  <si>
    <t>/sparkreports/v1/sites/65f442f850fb845c6038232d2c081b1c/jobs/2600630a-ff0f-11eb-baa1-a0cec8da9a51/hauls/12a39ccb-c8bf-424a-a6eb-0585cff90a2c/trails?column=coordinates</t>
  </si>
  <si>
    <t>https://us-qa-api.sitelink.topcon.com:443/sparkreports/v1/sites/65f442f850fb845c6038232d2c081b1c/jobs/2600630a-ff0f-11eb-baa1-a0cec8da9a51/hauls/12a39ccb-c8bf-424a-a6eb-0585cff90a2c/trails?column=coordinates</t>
  </si>
  <si>
    <t>00009f8d-21ef-48d9-bd72-c2da32fbf5a7</t>
  </si>
  <si>
    <t>urn:X-topcon:machine:ac:truck:oem:nonesuch:model::sn::id:M01-021</t>
  </si>
  <si>
    <t>R01-machine-021</t>
  </si>
  <si>
    <t>Operator R01-O021</t>
  </si>
  <si>
    <t>Operator-R01021</t>
  </si>
  <si>
    <t>/sparkreports/v1/sites/65f442f850fb845c6038232d2c081b1c/jobs/2600630a-ff0f-11eb-baa1-a0cec8da9a51/hauls/00009f8d-21ef-48d9-bd72-c2da32fbf5a7/trails?column=coordinates</t>
  </si>
  <si>
    <t>https://us-qa-api.sitelink.topcon.com:443/sparkreports/v1/sites/65f442f850fb845c6038232d2c081b1c/jobs/2600630a-ff0f-11eb-baa1-a0cec8da9a51/hauls/00009f8d-21ef-48d9-bd72-c2da32fbf5a7/trails?column=coordinates</t>
  </si>
  <si>
    <t>Airport - Dump 3/4 Ag Base</t>
  </si>
  <si>
    <t>c175710a-d7d5-4c89-8c6c-6ec5cacdc3b6</t>
  </si>
  <si>
    <t>0c34ff5c-4c80-4e7f-9a04-7b5b0aad6e08</t>
  </si>
  <si>
    <t>urn:X-topcon:machine:ac:truck:oem:nonesuch:model::sn::id:M02-024</t>
  </si>
  <si>
    <t>R02-machine-024</t>
  </si>
  <si>
    <t>Operator R02-O024</t>
  </si>
  <si>
    <t>Operator-R02024</t>
  </si>
  <si>
    <t>/sparkreports/v1/sites/65f442f850fb845c6038232d2c081b1c/jobs/2600630a-ff0f-11eb-baa1-a0cec8da9a51/hauls/0c34ff5c-4c80-4e7f-9a04-7b5b0aad6e08/trails?column=coordinates</t>
  </si>
  <si>
    <t>https://us-qa-api.sitelink.topcon.com:443/sparkreports/v1/sites/65f442f850fb845c6038232d2c081b1c/jobs/2600630a-ff0f-11eb-baa1-a0cec8da9a51/hauls/0c34ff5c-4c80-4e7f-9a04-7b5b0aad6e08/trails?column=coordinates</t>
  </si>
  <si>
    <t>70e21fab-0485-4633-abd1-40530abccd5d</t>
  </si>
  <si>
    <t>urn:X-topcon:machine:ac:truck:oem:nonesuch:model::sn::id:M01-016</t>
  </si>
  <si>
    <t>R01-machine-016</t>
  </si>
  <si>
    <t>Operator R01-O016</t>
  </si>
  <si>
    <t>Operator-R01016</t>
  </si>
  <si>
    <t>/sparkreports/v1/sites/65f442f850fb845c6038232d2c081b1c/jobs/2600630a-ff0f-11eb-baa1-a0cec8da9a51/hauls/70e21fab-0485-4633-abd1-40530abccd5d/trails?column=coordinates</t>
  </si>
  <si>
    <t>https://us-qa-api.sitelink.topcon.com:443/sparkreports/v1/sites/65f442f850fb845c6038232d2c081b1c/jobs/2600630a-ff0f-11eb-baa1-a0cec8da9a51/hauls/70e21fab-0485-4633-abd1-40530abccd5d/trails?column=coordinates</t>
  </si>
  <si>
    <t>dc193c9e-3e26-4817-b07f-10b4b7ca2a80</t>
  </si>
  <si>
    <t>urn:X-topcon:machine:ac:truck:oem:nonesuch:model::sn::id:M02-064</t>
  </si>
  <si>
    <t>R02-machine-064</t>
  </si>
  <si>
    <t>Operator R02-O064</t>
  </si>
  <si>
    <t>Operator-R02064</t>
  </si>
  <si>
    <t>/sparkreports/v1/sites/65f442f850fb845c6038232d2c081b1c/jobs/2600630a-ff0f-11eb-baa1-a0cec8da9a51/hauls/dc193c9e-3e26-4817-b07f-10b4b7ca2a80/trails?column=coordinates</t>
  </si>
  <si>
    <t>https://us-qa-api.sitelink.topcon.com:443/sparkreports/v1/sites/65f442f850fb845c6038232d2c081b1c/jobs/2600630a-ff0f-11eb-baa1-a0cec8da9a51/hauls/dc193c9e-3e26-4817-b07f-10b4b7ca2a80/trails?column=coordinates</t>
  </si>
  <si>
    <t>73460dbd-c8c9-4fec-8320-f30da65ee89c</t>
  </si>
  <si>
    <t>urn:X-topcon:machine:ac:truck:oem:nonesuch:model::sn::id:M01-031</t>
  </si>
  <si>
    <t>R01-machine-031</t>
  </si>
  <si>
    <t>Operator R01-O031</t>
  </si>
  <si>
    <t>Operator-R01031</t>
  </si>
  <si>
    <t>/sparkreports/v1/sites/65f442f850fb845c6038232d2c081b1c/jobs/2600630a-ff0f-11eb-baa1-a0cec8da9a51/hauls/73460dbd-c8c9-4fec-8320-f30da65ee89c/trails?column=coordinates</t>
  </si>
  <si>
    <t>https://us-qa-api.sitelink.topcon.com:443/sparkreports/v1/sites/65f442f850fb845c6038232d2c081b1c/jobs/2600630a-ff0f-11eb-baa1-a0cec8da9a51/hauls/73460dbd-c8c9-4fec-8320-f30da65ee89c/trails?column=coordinates</t>
  </si>
  <si>
    <t>495a2715-2170-4882-8926-4349a67974e8</t>
  </si>
  <si>
    <t>urn:X-topcon:machine:ac:truck:oem:nonesuch:model::sn::id:M01-026</t>
  </si>
  <si>
    <t>R01-machine-026</t>
  </si>
  <si>
    <t>Operator R01-O026</t>
  </si>
  <si>
    <t>Operator-R01026</t>
  </si>
  <si>
    <t>/sparkreports/v1/sites/65f442f850fb845c6038232d2c081b1c/jobs/2600630a-ff0f-11eb-baa1-a0cec8da9a51/hauls/495a2715-2170-4882-8926-4349a67974e8/trails?column=coordinates</t>
  </si>
  <si>
    <t>https://us-qa-api.sitelink.topcon.com:443/sparkreports/v1/sites/65f442f850fb845c6038232d2c081b1c/jobs/2600630a-ff0f-11eb-baa1-a0cec8da9a51/hauls/495a2715-2170-4882-8926-4349a67974e8/trails?column=coordinates</t>
  </si>
  <si>
    <t>bb316d9a-6f7a-46e7-ba21-60054967a082</t>
  </si>
  <si>
    <t>urn:X-topcon:machine:ac:truck:oem:nonesuch:model::sn::id:M02-033</t>
  </si>
  <si>
    <t>R02-machine-033</t>
  </si>
  <si>
    <t>Operator R02-O033</t>
  </si>
  <si>
    <t>Operator-R02033</t>
  </si>
  <si>
    <t>/sparkreports/v1/sites/65f442f850fb845c6038232d2c081b1c/jobs/2600630a-ff0f-11eb-baa1-a0cec8da9a51/hauls/bb316d9a-6f7a-46e7-ba21-60054967a082/trails?column=coordinates</t>
  </si>
  <si>
    <t>https://us-qa-api.sitelink.topcon.com:443/sparkreports/v1/sites/65f442f850fb845c6038232d2c081b1c/jobs/2600630a-ff0f-11eb-baa1-a0cec8da9a51/hauls/bb316d9a-6f7a-46e7-ba21-60054967a082/trails?column=coordinates</t>
  </si>
  <si>
    <t>0d568b73-b03b-4868-9d0b-7fd4d40d0813</t>
  </si>
  <si>
    <t>urn:X-topcon:machine:ac:truck:oem:nonesuch:model::sn::id:M02-073</t>
  </si>
  <si>
    <t>R02-machine-073</t>
  </si>
  <si>
    <t>Operator R02-O073</t>
  </si>
  <si>
    <t>Operator-R02073</t>
  </si>
  <si>
    <t>/sparkreports/v1/sites/65f442f850fb845c6038232d2c081b1c/jobs/2600630a-ff0f-11eb-baa1-a0cec8da9a51/hauls/0d568b73-b03b-4868-9d0b-7fd4d40d0813/trails?column=coordinates</t>
  </si>
  <si>
    <t>https://us-qa-api.sitelink.topcon.com:443/sparkreports/v1/sites/65f442f850fb845c6038232d2c081b1c/jobs/2600630a-ff0f-11eb-baa1-a0cec8da9a51/hauls/0d568b73-b03b-4868-9d0b-7fd4d40d0813/trails?column=coordinates</t>
  </si>
  <si>
    <t>bfbc8d11-bf0e-4c00-849d-9d0b74215e0b</t>
  </si>
  <si>
    <t>urn:X-topcon:machine:ac:truck:oem:nonesuch:model::sn::id:M02-002</t>
  </si>
  <si>
    <t>R02-machine-002</t>
  </si>
  <si>
    <t>Operator R02-O002</t>
  </si>
  <si>
    <t>Operator-R02002</t>
  </si>
  <si>
    <t>/sparkreports/v1/sites/65f442f850fb845c6038232d2c081b1c/jobs/2600630a-ff0f-11eb-baa1-a0cec8da9a51/hauls/bfbc8d11-bf0e-4c00-849d-9d0b74215e0b/trails?column=coordinates</t>
  </si>
  <si>
    <t>https://us-qa-api.sitelink.topcon.com:443/sparkreports/v1/sites/65f442f850fb845c6038232d2c081b1c/jobs/2600630a-ff0f-11eb-baa1-a0cec8da9a51/hauls/bfbc8d11-bf0e-4c00-849d-9d0b74215e0b/trails?column=coordinates</t>
  </si>
  <si>
    <t>5c406e52-12d9-4165-9c04-b66fcee9ab36</t>
  </si>
  <si>
    <t>urn:X-topcon:machine:ac:truck:oem:nonesuch:model::sn::id:M01-008</t>
  </si>
  <si>
    <t>R01-machine-008</t>
  </si>
  <si>
    <t>Operator R01-O008</t>
  </si>
  <si>
    <t>Operator-R01008</t>
  </si>
  <si>
    <t>/sparkreports/v1/sites/65f442f850fb845c6038232d2c081b1c/jobs/2600630a-ff0f-11eb-baa1-a0cec8da9a51/hauls/5c406e52-12d9-4165-9c04-b66fcee9ab36/trails?column=coordinates</t>
  </si>
  <si>
    <t>https://us-qa-api.sitelink.topcon.com:443/sparkreports/v1/sites/65f442f850fb845c6038232d2c081b1c/jobs/2600630a-ff0f-11eb-baa1-a0cec8da9a51/hauls/5c406e52-12d9-4165-9c04-b66fcee9ab36/trails?column=coordinates</t>
  </si>
  <si>
    <t>43ece1a7-12f2-4a37-b3ea-88722252dbf2</t>
  </si>
  <si>
    <t>urn:X-topcon:machine:ac:truck:oem:nonesuch:model::sn::id:M01-003</t>
  </si>
  <si>
    <t>R01-machine-003</t>
  </si>
  <si>
    <t>Operator R01-O003</t>
  </si>
  <si>
    <t>Operator-R01003</t>
  </si>
  <si>
    <t>Haul Broken Concrete</t>
  </si>
  <si>
    <t>d6f80d6d-5e0a-4a4c-bbd1-1f5a0f778f54</t>
  </si>
  <si>
    <t>/sparkreports/v1/sites/65f442f850fb845c6038232d2c081b1c/jobs/2600630a-ff0f-11eb-baa1-a0cec8da9a51/hauls/43ece1a7-12f2-4a37-b3ea-88722252dbf2/trails?column=coordinates</t>
  </si>
  <si>
    <t>https://us-qa-api.sitelink.topcon.com:443/sparkreports/v1/sites/65f442f850fb845c6038232d2c081b1c/jobs/2600630a-ff0f-11eb-baa1-a0cec8da9a51/hauls/43ece1a7-12f2-4a37-b3ea-88722252dbf2/trails?column=coordinates</t>
  </si>
  <si>
    <t>8d5a6b26-cda6-4bd4-b30d-a88064303e89</t>
  </si>
  <si>
    <t>urn:X-topcon:machine:ac:truck:oem:nonesuch:model::sn::id:M01-041</t>
  </si>
  <si>
    <t>R01-machine-041</t>
  </si>
  <si>
    <t>Operator R01-O041</t>
  </si>
  <si>
    <t>Operator-R01041</t>
  </si>
  <si>
    <t>/sparkreports/v1/sites/65f442f850fb845c6038232d2c081b1c/jobs/2600630a-ff0f-11eb-baa1-a0cec8da9a51/hauls/8d5a6b26-cda6-4bd4-b30d-a88064303e89/trails?column=coordinates</t>
  </si>
  <si>
    <t>https://us-qa-api.sitelink.topcon.com:443/sparkreports/v1/sites/65f442f850fb845c6038232d2c081b1c/jobs/2600630a-ff0f-11eb-baa1-a0cec8da9a51/hauls/8d5a6b26-cda6-4bd4-b30d-a88064303e89/trails?column=coordinates</t>
  </si>
  <si>
    <t>eed42739-5691-4658-8b3c-fd31190fae06</t>
  </si>
  <si>
    <t>urn:X-topcon:machine:ac:truck:oem:nonesuch:model::sn::id:M02-082</t>
  </si>
  <si>
    <t>R02-machine-082</t>
  </si>
  <si>
    <t>Operator R02-O082</t>
  </si>
  <si>
    <t>Operator-R02082</t>
  </si>
  <si>
    <t>/sparkreports/v1/sites/65f442f850fb845c6038232d2c081b1c/jobs/2600630a-ff0f-11eb-baa1-a0cec8da9a51/hauls/eed42739-5691-4658-8b3c-fd31190fae06/trails?column=coordinates</t>
  </si>
  <si>
    <t>https://us-qa-api.sitelink.topcon.com:443/sparkreports/v1/sites/65f442f850fb845c6038232d2c081b1c/jobs/2600630a-ff0f-11eb-baa1-a0cec8da9a51/hauls/eed42739-5691-4658-8b3c-fd31190fae06/trails?column=coordinates</t>
  </si>
  <si>
    <t>e8433917-9367-47a1-9330-cd3cea6849db</t>
  </si>
  <si>
    <t>urn:X-topcon:machine:ac:truck:oem:nonesuch:model::sn::id:M02-042</t>
  </si>
  <si>
    <t>R02-machine-042</t>
  </si>
  <si>
    <t>Operator R02-O042</t>
  </si>
  <si>
    <t>Operator-R02042</t>
  </si>
  <si>
    <t>/sparkreports/v1/sites/65f442f850fb845c6038232d2c081b1c/jobs/2600630a-ff0f-11eb-baa1-a0cec8da9a51/hauls/e8433917-9367-47a1-9330-cd3cea6849db/trails?column=coordinates</t>
  </si>
  <si>
    <t>https://us-qa-api.sitelink.topcon.com:443/sparkreports/v1/sites/65f442f850fb845c6038232d2c081b1c/jobs/2600630a-ff0f-11eb-baa1-a0cec8da9a51/hauls/e8433917-9367-47a1-9330-cd3cea6849db/trails?column=coordinates</t>
  </si>
  <si>
    <t>d36ebd12-dfb2-49fb-8088-fb2f32992f05</t>
  </si>
  <si>
    <t>urn:X-topcon:machine:ac:truck:oem:nonesuch:model::sn::id:M01-036</t>
  </si>
  <si>
    <t>R01-machine-036</t>
  </si>
  <si>
    <t>Operator R01-O036</t>
  </si>
  <si>
    <t>Operator-R01036</t>
  </si>
  <si>
    <t>/sparkreports/v1/sites/65f442f850fb845c6038232d2c081b1c/jobs/2600630a-ff0f-11eb-baa1-a0cec8da9a51/hauls/d36ebd12-dfb2-49fb-8088-fb2f32992f05/trails?column=coordinates</t>
  </si>
  <si>
    <t>https://us-qa-api.sitelink.topcon.com:443/sparkreports/v1/sites/65f442f850fb845c6038232d2c081b1c/jobs/2600630a-ff0f-11eb-baa1-a0cec8da9a51/hauls/d36ebd12-dfb2-49fb-8088-fb2f32992f05/trails?column=coordinates</t>
  </si>
  <si>
    <t>f9cb26e2-69df-4525-8059-82c189387326</t>
  </si>
  <si>
    <t>urn:X-topcon:machine:ac:truck:oem:nonesuch:model::sn::id:M01-018</t>
  </si>
  <si>
    <t>R01-machine-018</t>
  </si>
  <si>
    <t>Operator R01-O018</t>
  </si>
  <si>
    <t>Operator-R01018</t>
  </si>
  <si>
    <t>/sparkreports/v1/sites/65f442f850fb845c6038232d2c081b1c/jobs/2600630a-ff0f-11eb-baa1-a0cec8da9a51/hauls/f9cb26e2-69df-4525-8059-82c189387326/trails?column=coordinates</t>
  </si>
  <si>
    <t>https://us-qa-api.sitelink.topcon.com:443/sparkreports/v1/sites/65f442f850fb845c6038232d2c081b1c/jobs/2600630a-ff0f-11eb-baa1-a0cec8da9a51/hauls/f9cb26e2-69df-4525-8059-82c189387326/trails?column=coordinates</t>
  </si>
  <si>
    <t>9d1a1666-55b8-450a-b72b-91f25601f7b3</t>
  </si>
  <si>
    <t>urn:X-topcon:machine:ac:truck:oem:nonesuch:model::sn::id:M01-013</t>
  </si>
  <si>
    <t>R01-machine-013</t>
  </si>
  <si>
    <t>Operator R01-O013</t>
  </si>
  <si>
    <t>Operator-R01013</t>
  </si>
  <si>
    <t>/sparkreports/v1/sites/65f442f850fb845c6038232d2c081b1c/jobs/2600630a-ff0f-11eb-baa1-a0cec8da9a51/hauls/9d1a1666-55b8-450a-b72b-91f25601f7b3/trails?column=coordinates</t>
  </si>
  <si>
    <t>https://us-qa-api.sitelink.topcon.com:443/sparkreports/v1/sites/65f442f850fb845c6038232d2c081b1c/jobs/2600630a-ff0f-11eb-baa1-a0cec8da9a51/hauls/9d1a1666-55b8-450a-b72b-91f25601f7b3/trails?column=coordinates</t>
  </si>
  <si>
    <t>6bcfa0da-0f6e-4d7e-9e34-8a036bd72254</t>
  </si>
  <si>
    <t>urn:X-topcon:machine:ac:truck:oem:nonesuch:model::sn::id:M01-046</t>
  </si>
  <si>
    <t>R01-machine-046</t>
  </si>
  <si>
    <t>Operator R01-O046</t>
  </si>
  <si>
    <t>Operator-R01046</t>
  </si>
  <si>
    <t>/sparkreports/v1/sites/65f442f850fb845c6038232d2c081b1c/jobs/2600630a-ff0f-11eb-baa1-a0cec8da9a51/hauls/6bcfa0da-0f6e-4d7e-9e34-8a036bd72254/trails?column=coordinates</t>
  </si>
  <si>
    <t>https://us-qa-api.sitelink.topcon.com:443/sparkreports/v1/sites/65f442f850fb845c6038232d2c081b1c/jobs/2600630a-ff0f-11eb-baa1-a0cec8da9a51/hauls/6bcfa0da-0f6e-4d7e-9e34-8a036bd72254/trails?column=coordinates</t>
  </si>
  <si>
    <t>ca7917ba-7b0a-4c52-886c-965d8935d113</t>
  </si>
  <si>
    <t>urn:X-topcon:machine:ac:truck:oem:nonesuch:model::sn::id:M02-011</t>
  </si>
  <si>
    <t>R02-machine-011</t>
  </si>
  <si>
    <t>Operator R02-O011</t>
  </si>
  <si>
    <t>Operator-R02011</t>
  </si>
  <si>
    <t>/sparkreports/v1/sites/65f442f850fb845c6038232d2c081b1c/jobs/2600630a-ff0f-11eb-baa1-a0cec8da9a51/hauls/ca7917ba-7b0a-4c52-886c-965d8935d113/trails?column=coordinates</t>
  </si>
  <si>
    <t>https://us-qa-api.sitelink.topcon.com:443/sparkreports/v1/sites/65f442f850fb845c6038232d2c081b1c/jobs/2600630a-ff0f-11eb-baa1-a0cec8da9a51/hauls/ca7917ba-7b0a-4c52-886c-965d8935d113/trails?column=coordinates</t>
  </si>
  <si>
    <t>9dc2cb88-28b3-474d-9de2-a51f4ef1c598</t>
  </si>
  <si>
    <t>urn:X-topcon:machine:ac:truck:oem:nonesuch:model::sn::id:M02-091</t>
  </si>
  <si>
    <t>R02-machine-091</t>
  </si>
  <si>
    <t>Operator R02-O091</t>
  </si>
  <si>
    <t>Operator-R02091</t>
  </si>
  <si>
    <t>/sparkreports/v1/sites/65f442f850fb845c6038232d2c081b1c/jobs/2600630a-ff0f-11eb-baa1-a0cec8da9a51/hauls/9dc2cb88-28b3-474d-9de2-a51f4ef1c598/trails?column=coordinates</t>
  </si>
  <si>
    <t>https://us-qa-api.sitelink.topcon.com:443/sparkreports/v1/sites/65f442f850fb845c6038232d2c081b1c/jobs/2600630a-ff0f-11eb-baa1-a0cec8da9a51/hauls/9dc2cb88-28b3-474d-9de2-a51f4ef1c598/trails?column=coordinates</t>
  </si>
  <si>
    <t>e38bc4dc-63ca-4c20-9f20-226adb958ec7</t>
  </si>
  <si>
    <t>urn:X-topcon:machine:ac:truck:oem:nonesuch:model::sn::id:M02-051</t>
  </si>
  <si>
    <t>R02-machine-051</t>
  </si>
  <si>
    <t>Operator R02-O051</t>
  </si>
  <si>
    <t>Operator-R02051</t>
  </si>
  <si>
    <t>/sparkreports/v1/sites/65f442f850fb845c6038232d2c081b1c/jobs/2600630a-ff0f-11eb-baa1-a0cec8da9a51/hauls/e38bc4dc-63ca-4c20-9f20-226adb958ec7/trails?column=coordinates</t>
  </si>
  <si>
    <t>https://us-qa-api.sitelink.topcon.com:443/sparkreports/v1/sites/65f442f850fb845c6038232d2c081b1c/jobs/2600630a-ff0f-11eb-baa1-a0cec8da9a51/hauls/e38bc4dc-63ca-4c20-9f20-226adb958ec7/trails?column=coordinates</t>
  </si>
  <si>
    <t>a8690e6f-c60e-4286-be2f-2c756d0aa6a0</t>
  </si>
  <si>
    <t>urn:X-topcon:machine:ac:truck:oem:nonesuch:model::sn::id:M01-028</t>
  </si>
  <si>
    <t>R01-machine-028</t>
  </si>
  <si>
    <t>Operator R01-O028</t>
  </si>
  <si>
    <t>Operator-R01028</t>
  </si>
  <si>
    <t>/sparkreports/v1/sites/65f442f850fb845c6038232d2c081b1c/jobs/2600630a-ff0f-11eb-baa1-a0cec8da9a51/hauls/a8690e6f-c60e-4286-be2f-2c756d0aa6a0/trails?column=coordinates</t>
  </si>
  <si>
    <t>https://us-qa-api.sitelink.topcon.com:443/sparkreports/v1/sites/65f442f850fb845c6038232d2c081b1c/jobs/2600630a-ff0f-11eb-baa1-a0cec8da9a51/hauls/a8690e6f-c60e-4286-be2f-2c756d0aa6a0/trails?column=coordinates</t>
  </si>
  <si>
    <t>a9c02911-e15c-4998-986a-feb07b83841a</t>
  </si>
  <si>
    <t>urn:X-topcon:machine:ac:truck:oem:nonesuch:model::sn::id:M01-023</t>
  </si>
  <si>
    <t>R01-machine-023</t>
  </si>
  <si>
    <t>Operator R01-O023</t>
  </si>
  <si>
    <t>Operator-R01023</t>
  </si>
  <si>
    <t>/sparkreports/v1/sites/65f442f850fb845c6038232d2c081b1c/jobs/2600630a-ff0f-11eb-baa1-a0cec8da9a51/hauls/a9c02911-e15c-4998-986a-feb07b83841a/trails?column=coordinates</t>
  </si>
  <si>
    <t>https://us-qa-api.sitelink.topcon.com:443/sparkreports/v1/sites/65f442f850fb845c6038232d2c081b1c/jobs/2600630a-ff0f-11eb-baa1-a0cec8da9a51/hauls/a9c02911-e15c-4998-986a-feb07b83841a/trails?column=coordinates</t>
  </si>
  <si>
    <t>d6cc755d-647e-4e75-926a-fe2136910ad2</t>
  </si>
  <si>
    <t>urn:X-topcon:machine:ac:truck:oem:nonesuch:model::sn::id:M02-020</t>
  </si>
  <si>
    <t>R02-machine-020</t>
  </si>
  <si>
    <t>Operator R02-O020</t>
  </si>
  <si>
    <t>Operator-R02020</t>
  </si>
  <si>
    <t>/sparkreports/v1/sites/65f442f850fb845c6038232d2c081b1c/jobs/2600630a-ff0f-11eb-baa1-a0cec8da9a51/hauls/d6cc755d-647e-4e75-926a-fe2136910ad2/trails?column=coordinates</t>
  </si>
  <si>
    <t>https://us-qa-api.sitelink.topcon.com:443/sparkreports/v1/sites/65f442f850fb845c6038232d2c081b1c/jobs/2600630a-ff0f-11eb-baa1-a0cec8da9a51/hauls/d6cc755d-647e-4e75-926a-fe2136910ad2/trails?column=coordinates</t>
  </si>
  <si>
    <t>8901444f-1641-479d-acfb-5f375534c063</t>
  </si>
  <si>
    <t>urn:X-topcon:machine:ac:truck:oem:nonesuch:model::sn::id:M01-005</t>
  </si>
  <si>
    <t>R01-machine-005</t>
  </si>
  <si>
    <t>Operator R01-O005</t>
  </si>
  <si>
    <t>Operator-R01005</t>
  </si>
  <si>
    <t>/sparkreports/v1/sites/65f442f850fb845c6038232d2c081b1c/jobs/2600630a-ff0f-11eb-baa1-a0cec8da9a51/hauls/8901444f-1641-479d-acfb-5f375534c063/trails?column=coordinates</t>
  </si>
  <si>
    <t>https://us-qa-api.sitelink.topcon.com:443/sparkreports/v1/sites/65f442f850fb845c6038232d2c081b1c/jobs/2600630a-ff0f-11eb-baa1-a0cec8da9a51/hauls/8901444f-1641-479d-acfb-5f375534c063/trails?column=coordinates</t>
  </si>
  <si>
    <t>7b378225-65e1-485b-b1d6-e819ec117c09</t>
  </si>
  <si>
    <t>urn:X-topcon:machine:ac:truck:oem:nonesuch:model::sn::id:M01-000</t>
  </si>
  <si>
    <t>R01-machine-000</t>
  </si>
  <si>
    <t>Operator R01-O000</t>
  </si>
  <si>
    <t>Operator-R01000</t>
  </si>
  <si>
    <t>/sparkreports/v1/sites/65f442f850fb845c6038232d2c081b1c/jobs/2600630a-ff0f-11eb-baa1-a0cec8da9a51/hauls/7b378225-65e1-485b-b1d6-e819ec117c09/trails?column=coordinates</t>
  </si>
  <si>
    <t>https://us-qa-api.sitelink.topcon.com:443/sparkreports/v1/sites/65f442f850fb845c6038232d2c081b1c/jobs/2600630a-ff0f-11eb-baa1-a0cec8da9a51/hauls/7b378225-65e1-485b-b1d6-e819ec117c09/trails?column=coordinates</t>
  </si>
  <si>
    <t>998fbf1f-2e09-4c5f-8f03-8c403ae05960</t>
  </si>
  <si>
    <t>urn:X-topcon:machine:ac:truck:oem:nonesuch:model::sn::id:M02-060</t>
  </si>
  <si>
    <t>R02-machine-060</t>
  </si>
  <si>
    <t>Operator R02-O060</t>
  </si>
  <si>
    <t>Operator-R02060</t>
  </si>
  <si>
    <t>/sparkreports/v1/sites/65f442f850fb845c6038232d2c081b1c/jobs/2600630a-ff0f-11eb-baa1-a0cec8da9a51/hauls/998fbf1f-2e09-4c5f-8f03-8c403ae05960/trails?column=coordinates</t>
  </si>
  <si>
    <t>https://us-qa-api.sitelink.topcon.com:443/sparkreports/v1/sites/65f442f850fb845c6038232d2c081b1c/jobs/2600630a-ff0f-11eb-baa1-a0cec8da9a51/hauls/998fbf1f-2e09-4c5f-8f03-8c403ae05960/trails?column=coordinates</t>
  </si>
  <si>
    <t>769b6f34-dbb8-436f-9863-4e8824999596</t>
  </si>
  <si>
    <t>urn:X-topcon:machine:ac:truck:oem:nonesuch:model::sn::id:M01-033</t>
  </si>
  <si>
    <t>R01-machine-033</t>
  </si>
  <si>
    <t>Operator R01-O033</t>
  </si>
  <si>
    <t>Operator-R01033</t>
  </si>
  <si>
    <t>/sparkreports/v1/sites/65f442f850fb845c6038232d2c081b1c/jobs/2600630a-ff0f-11eb-baa1-a0cec8da9a51/hauls/769b6f34-dbb8-436f-9863-4e8824999596/trails?column=coordinates</t>
  </si>
  <si>
    <t>https://us-qa-api.sitelink.topcon.com:443/sparkreports/v1/sites/65f442f850fb845c6038232d2c081b1c/jobs/2600630a-ff0f-11eb-baa1-a0cec8da9a51/hauls/769b6f34-dbb8-436f-9863-4e8824999596/trails?column=coordinates</t>
  </si>
  <si>
    <t>89f1c534-eb28-4a60-a459-7b3f0f274891</t>
  </si>
  <si>
    <t>urn:X-topcon:machine:ac:truck:oem:nonesuch:model::sn::id:M01-038</t>
  </si>
  <si>
    <t>R01-machine-038</t>
  </si>
  <si>
    <t>Operator R01-O038</t>
  </si>
  <si>
    <t>Operator-R01038</t>
  </si>
  <si>
    <t>/sparkreports/v1/sites/65f442f850fb845c6038232d2c081b1c/jobs/2600630a-ff0f-11eb-baa1-a0cec8da9a51/hauls/89f1c534-eb28-4a60-a459-7b3f0f274891/trails?column=coordinates</t>
  </si>
  <si>
    <t>https://us-qa-api.sitelink.topcon.com:443/sparkreports/v1/sites/65f442f850fb845c6038232d2c081b1c/jobs/2600630a-ff0f-11eb-baa1-a0cec8da9a51/hauls/89f1c534-eb28-4a60-a459-7b3f0f274891/trails?column=coordinates</t>
  </si>
  <si>
    <t>4173a380-462d-4e8e-82fb-a3a7204fdac4</t>
  </si>
  <si>
    <t>urn:X-topcon:machine:ac:truck:oem:nonesuch:model::sn::id:M02-069</t>
  </si>
  <si>
    <t>R02-machine-069</t>
  </si>
  <si>
    <t>Operator R02-O069</t>
  </si>
  <si>
    <t>Operator-R02069</t>
  </si>
  <si>
    <t>/sparkreports/v1/sites/65f442f850fb845c6038232d2c081b1c/jobs/2600630a-ff0f-11eb-baa1-a0cec8da9a51/hauls/4173a380-462d-4e8e-82fb-a3a7204fdac4/trails?column=coordinates</t>
  </si>
  <si>
    <t>https://us-qa-api.sitelink.topcon.com:443/sparkreports/v1/sites/65f442f850fb845c6038232d2c081b1c/jobs/2600630a-ff0f-11eb-baa1-a0cec8da9a51/hauls/4173a380-462d-4e8e-82fb-a3a7204fdac4/trails?column=coordinates</t>
  </si>
  <si>
    <t>0c7cb123-399d-48f7-b5e4-c6ecdedfa843</t>
  </si>
  <si>
    <t>urn:X-topcon:machine:ac:truck:oem:nonesuch:model::sn::id:M02-029</t>
  </si>
  <si>
    <t>R02-machine-029</t>
  </si>
  <si>
    <t>Operator R02-O029</t>
  </si>
  <si>
    <t>Operator-R02029</t>
  </si>
  <si>
    <t>/sparkreports/v1/sites/65f442f850fb845c6038232d2c081b1c/jobs/2600630a-ff0f-11eb-baa1-a0cec8da9a51/hauls/0c7cb123-399d-48f7-b5e4-c6ecdedfa843/trails?column=coordinates</t>
  </si>
  <si>
    <t>https://us-qa-api.sitelink.topcon.com:443/sparkreports/v1/sites/65f442f850fb845c6038232d2c081b1c/jobs/2600630a-ff0f-11eb-baa1-a0cec8da9a51/hauls/0c7cb123-399d-48f7-b5e4-c6ecdedfa843/trails?column=coordinates</t>
  </si>
  <si>
    <t>78500b9d-7094-4a28-8e45-0a937b6ab5b9</t>
  </si>
  <si>
    <t>urn:X-topcon:machine:ac:truck:oem:nonesuch:model::sn::id:M01-048</t>
  </si>
  <si>
    <t>R01-machine-048</t>
  </si>
  <si>
    <t>Operator R01-O048</t>
  </si>
  <si>
    <t>Operator-R01048</t>
  </si>
  <si>
    <t>/sparkreports/v1/sites/65f442f850fb845c6038232d2c081b1c/jobs/2600630a-ff0f-11eb-baa1-a0cec8da9a51/hauls/78500b9d-7094-4a28-8e45-0a937b6ab5b9/trails?column=coordinates</t>
  </si>
  <si>
    <t>https://us-qa-api.sitelink.topcon.com:443/sparkreports/v1/sites/65f442f850fb845c6038232d2c081b1c/jobs/2600630a-ff0f-11eb-baa1-a0cec8da9a51/hauls/78500b9d-7094-4a28-8e45-0a937b6ab5b9/trails?column=coordinates</t>
  </si>
  <si>
    <t>d3f85c14-bcab-4e14-b268-d676bbc60bb9</t>
  </si>
  <si>
    <t>urn:X-topcon:machine:ac:truck:oem:nonesuch:model::sn::id:M01-010</t>
  </si>
  <si>
    <t>R01-machine-010</t>
  </si>
  <si>
    <t>Operator R01-O010</t>
  </si>
  <si>
    <t>Operator-R01010</t>
  </si>
  <si>
    <t>/sparkreports/v1/sites/65f442f850fb845c6038232d2c081b1c/jobs/2600630a-ff0f-11eb-baa1-a0cec8da9a51/hauls/d3f85c14-bcab-4e14-b268-d676bbc60bb9/trails?column=coordinates</t>
  </si>
  <si>
    <t>https://us-qa-api.sitelink.topcon.com:443/sparkreports/v1/sites/65f442f850fb845c6038232d2c081b1c/jobs/2600630a-ff0f-11eb-baa1-a0cec8da9a51/hauls/d3f85c14-bcab-4e14-b268-d676bbc60bb9/trails?column=coordinates</t>
  </si>
  <si>
    <t>a2eda777-1d56-49a5-ab1d-ab2baa493f85</t>
  </si>
  <si>
    <t>urn:X-topcon:machine:ac:truck:oem:nonesuch:model::sn::id:M01-015</t>
  </si>
  <si>
    <t>R01-machine-015</t>
  </si>
  <si>
    <t>Operator R01-O015</t>
  </si>
  <si>
    <t>Operator-R01015</t>
  </si>
  <si>
    <t>/sparkreports/v1/sites/65f442f850fb845c6038232d2c081b1c/jobs/2600630a-ff0f-11eb-baa1-a0cec8da9a51/hauls/a2eda777-1d56-49a5-ab1d-ab2baa493f85/trails?column=coordinates</t>
  </si>
  <si>
    <t>https://us-qa-api.sitelink.topcon.com:443/sparkreports/v1/sites/65f442f850fb845c6038232d2c081b1c/jobs/2600630a-ff0f-11eb-baa1-a0cec8da9a51/hauls/a2eda777-1d56-49a5-ab1d-ab2baa493f85/trails?column=coordinates</t>
  </si>
  <si>
    <t>f937a5fe-2fce-4c4b-a9c8-0cf2d6864537</t>
  </si>
  <si>
    <t>urn:X-topcon:machine:ac:truck:oem:nonesuch:model::sn::id:M01-043</t>
  </si>
  <si>
    <t>R01-machine-043</t>
  </si>
  <si>
    <t>Operator R01-O043</t>
  </si>
  <si>
    <t>Operator-R01043</t>
  </si>
  <si>
    <t>/sparkreports/v1/sites/65f442f850fb845c6038232d2c081b1c/jobs/2600630a-ff0f-11eb-baa1-a0cec8da9a51/hauls/f937a5fe-2fce-4c4b-a9c8-0cf2d6864537/trails?column=coordinates</t>
  </si>
  <si>
    <t>https://us-qa-api.sitelink.topcon.com:443/sparkreports/v1/sites/65f442f850fb845c6038232d2c081b1c/jobs/2600630a-ff0f-11eb-baa1-a0cec8da9a51/hauls/f937a5fe-2fce-4c4b-a9c8-0cf2d6864537/trails?column=coordinates</t>
  </si>
  <si>
    <t>3bd3c760-a1d7-4426-9271-5f94abcfe4ee</t>
  </si>
  <si>
    <t>urn:X-topcon:machine:ac:truck:oem:nonesuch:model::sn::id:M02-038</t>
  </si>
  <si>
    <t>R02-machine-038</t>
  </si>
  <si>
    <t>Operator R02-O038</t>
  </si>
  <si>
    <t>Operator-R02038</t>
  </si>
  <si>
    <t>/sparkreports/v1/sites/65f442f850fb845c6038232d2c081b1c/jobs/2600630a-ff0f-11eb-baa1-a0cec8da9a51/hauls/3bd3c760-a1d7-4426-9271-5f94abcfe4ee/trails?column=coordinates</t>
  </si>
  <si>
    <t>https://us-qa-api.sitelink.topcon.com:443/sparkreports/v1/sites/65f442f850fb845c6038232d2c081b1c/jobs/2600630a-ff0f-11eb-baa1-a0cec8da9a51/hauls/3bd3c760-a1d7-4426-9271-5f94abcfe4ee/trails?column=coordinates</t>
  </si>
  <si>
    <t>14f1e198-a984-4504-bdb4-95d627453ea9</t>
  </si>
  <si>
    <t>urn:X-topcon:machine:ac:truck:oem:nonesuch:model::sn::id:M02-078</t>
  </si>
  <si>
    <t>R02-machine-078</t>
  </si>
  <si>
    <t>Operator R02-O078</t>
  </si>
  <si>
    <t>Operator-R02078</t>
  </si>
  <si>
    <t>/sparkreports/v1/sites/65f442f850fb845c6038232d2c081b1c/jobs/2600630a-ff0f-11eb-baa1-a0cec8da9a51/hauls/14f1e198-a984-4504-bdb4-95d627453ea9/trails?column=coordinates</t>
  </si>
  <si>
    <t>https://us-qa-api.sitelink.topcon.com:443/sparkreports/v1/sites/65f442f850fb845c6038232d2c081b1c/jobs/2600630a-ff0f-11eb-baa1-a0cec8da9a51/hauls/14f1e198-a984-4504-bdb4-95d627453ea9/trails?column=coordinates</t>
  </si>
  <si>
    <t>971bd11a-1026-4aa9-a90e-7e81fae82717</t>
  </si>
  <si>
    <t>urn:X-topcon:machine:ac:truck:oem:nonesuch:model::sn::id:M01-020</t>
  </si>
  <si>
    <t>R01-machine-020</t>
  </si>
  <si>
    <t>Operator R01-O020</t>
  </si>
  <si>
    <t>Operator-R01020</t>
  </si>
  <si>
    <t>/sparkreports/v1/sites/65f442f850fb845c6038232d2c081b1c/jobs/2600630a-ff0f-11eb-baa1-a0cec8da9a51/hauls/971bd11a-1026-4aa9-a90e-7e81fae82717/trails?column=coordinates</t>
  </si>
  <si>
    <t>https://us-qa-api.sitelink.topcon.com:443/sparkreports/v1/sites/65f442f850fb845c6038232d2c081b1c/jobs/2600630a-ff0f-11eb-baa1-a0cec8da9a51/hauls/971bd11a-1026-4aa9-a90e-7e81fae82717/trails?column=coordinates</t>
  </si>
  <si>
    <t>473f9dd8-7df7-40ea-9071-2ff378190863</t>
  </si>
  <si>
    <t>urn:X-topcon:machine:ac:truck:oem:nonesuch:model::sn::id:M01-025</t>
  </si>
  <si>
    <t>R01-machine-025</t>
  </si>
  <si>
    <t>Operator R01-O025</t>
  </si>
  <si>
    <t>Operator-R01025</t>
  </si>
  <si>
    <t>/sparkreports/v1/sites/65f442f850fb845c6038232d2c081b1c/jobs/2600630a-ff0f-11eb-baa1-a0cec8da9a51/hauls/473f9dd8-7df7-40ea-9071-2ff378190863/trails?column=coordinates</t>
  </si>
  <si>
    <t>https://us-qa-api.sitelink.topcon.com:443/sparkreports/v1/sites/65f442f850fb845c6038232d2c081b1c/jobs/2600630a-ff0f-11eb-baa1-a0cec8da9a51/hauls/473f9dd8-7df7-40ea-9071-2ff378190863/trails?column=coordinates</t>
  </si>
  <si>
    <t>c162fae4-f599-4621-9c21-883c2301e0aa</t>
  </si>
  <si>
    <t>urn:X-topcon:machine:ac:truck:oem:nonesuch:model::sn::id:M02-007</t>
  </si>
  <si>
    <t>R02-machine-007</t>
  </si>
  <si>
    <t>Operator R02-O007</t>
  </si>
  <si>
    <t>Operator-R02007</t>
  </si>
  <si>
    <t>/sparkreports/v1/sites/65f442f850fb845c6038232d2c081b1c/jobs/2600630a-ff0f-11eb-baa1-a0cec8da9a51/hauls/c162fae4-f599-4621-9c21-883c2301e0aa/trails?column=coordinates</t>
  </si>
  <si>
    <t>https://us-qa-api.sitelink.topcon.com:443/sparkreports/v1/sites/65f442f850fb845c6038232d2c081b1c/jobs/2600630a-ff0f-11eb-baa1-a0cec8da9a51/hauls/c162fae4-f599-4621-9c21-883c2301e0aa/trails?column=coordinates</t>
  </si>
  <si>
    <t>e43c5420-1104-4ced-a25e-2242f295cd9d</t>
  </si>
  <si>
    <t>urn:X-topcon:machine:ac:truck:oem:nonesuch:model::sn::id:M01-002</t>
  </si>
  <si>
    <t>R01-machine-002</t>
  </si>
  <si>
    <t>Operator R01-O002</t>
  </si>
  <si>
    <t>Operator-R01002</t>
  </si>
  <si>
    <t>/sparkreports/v1/sites/65f442f850fb845c6038232d2c081b1c/jobs/2600630a-ff0f-11eb-baa1-a0cec8da9a51/hauls/e43c5420-1104-4ced-a25e-2242f295cd9d/trails?column=coordinates</t>
  </si>
  <si>
    <t>https://us-qa-api.sitelink.topcon.com:443/sparkreports/v1/sites/65f442f850fb845c6038232d2c081b1c/jobs/2600630a-ff0f-11eb-baa1-a0cec8da9a51/hauls/e43c5420-1104-4ced-a25e-2242f295cd9d/trails?column=coordinates</t>
  </si>
  <si>
    <t>4d93f7b0-b12c-4be6-97af-d798074b5909</t>
  </si>
  <si>
    <t>urn:X-topcon:machine:ac:truck:oem:nonesuch:model::sn::id:M02-087</t>
  </si>
  <si>
    <t>R02-machine-087</t>
  </si>
  <si>
    <t>Operator R02-O087</t>
  </si>
  <si>
    <t>Operator-R02087</t>
  </si>
  <si>
    <t>/sparkreports/v1/sites/65f442f850fb845c6038232d2c081b1c/jobs/2600630a-ff0f-11eb-baa1-a0cec8da9a51/hauls/4d93f7b0-b12c-4be6-97af-d798074b5909/trails?column=coordinates</t>
  </si>
  <si>
    <t>https://us-qa-api.sitelink.topcon.com:443/sparkreports/v1/sites/65f442f850fb845c6038232d2c081b1c/jobs/2600630a-ff0f-11eb-baa1-a0cec8da9a51/hauls/4d93f7b0-b12c-4be6-97af-d798074b5909/trails?column=coordinates</t>
  </si>
  <si>
    <t>ce6e52fb-4ca3-4923-8fa4-12a801047944</t>
  </si>
  <si>
    <t>urn:X-topcon:machine:ac:truck:oem:nonesuch:model::sn::id:M02-047</t>
  </si>
  <si>
    <t>R02-machine-047</t>
  </si>
  <si>
    <t>Operator R02-O047</t>
  </si>
  <si>
    <t>Operator-R02047</t>
  </si>
  <si>
    <t>/sparkreports/v1/sites/65f442f850fb845c6038232d2c081b1c/jobs/2600630a-ff0f-11eb-baa1-a0cec8da9a51/hauls/ce6e52fb-4ca3-4923-8fa4-12a801047944/trails?column=coordinates</t>
  </si>
  <si>
    <t>https://us-qa-api.sitelink.topcon.com:443/sparkreports/v1/sites/65f442f850fb845c6038232d2c081b1c/jobs/2600630a-ff0f-11eb-baa1-a0cec8da9a51/hauls/ce6e52fb-4ca3-4923-8fa4-12a801047944/trails?column=coordinates</t>
  </si>
  <si>
    <t>fb2f347b-15aa-430b-a032-de39940e5d5f</t>
  </si>
  <si>
    <t>urn:X-topcon:machine:ac:truck:oem:nonesuch:model::sn::id:M01-030</t>
  </si>
  <si>
    <t>R01-machine-030</t>
  </si>
  <si>
    <t>Operator R01-O030</t>
  </si>
  <si>
    <t>Operator-R01030</t>
  </si>
  <si>
    <t>/sparkreports/v1/sites/65f442f850fb845c6038232d2c081b1c/jobs/2600630a-ff0f-11eb-baa1-a0cec8da9a51/hauls/fb2f347b-15aa-430b-a032-de39940e5d5f/trails?column=coordinates</t>
  </si>
  <si>
    <t>https://us-qa-api.sitelink.topcon.com:443/sparkreports/v1/sites/65f442f850fb845c6038232d2c081b1c/jobs/2600630a-ff0f-11eb-baa1-a0cec8da9a51/hauls/fb2f347b-15aa-430b-a032-de39940e5d5f/trails?column=coordinates</t>
  </si>
  <si>
    <t>550bd378-08bb-42d7-aef2-3ecaa6b6ceb7</t>
  </si>
  <si>
    <t>urn:X-topcon:machine:ac:truck:oem:nonesuch:model::sn::id:M01-035</t>
  </si>
  <si>
    <t>R01-machine-035</t>
  </si>
  <si>
    <t>Operator R01-O035</t>
  </si>
  <si>
    <t>Operator-R01035</t>
  </si>
  <si>
    <t>/sparkreports/v1/sites/65f442f850fb845c6038232d2c081b1c/jobs/2600630a-ff0f-11eb-baa1-a0cec8da9a51/hauls/550bd378-08bb-42d7-aef2-3ecaa6b6ceb7/trails?column=coordinates</t>
  </si>
  <si>
    <t>https://us-qa-api.sitelink.topcon.com:443/sparkreports/v1/sites/65f442f850fb845c6038232d2c081b1c/jobs/2600630a-ff0f-11eb-baa1-a0cec8da9a51/hauls/550bd378-08bb-42d7-aef2-3ecaa6b6ceb7/trails?column=coordinates</t>
  </si>
  <si>
    <t>b7336e39-9041-44e2-bc3b-bcd6e3c5594e</t>
  </si>
  <si>
    <t>urn:X-topcon:machine:ac:truck:oem:nonesuch:model::sn::id:M01-007</t>
  </si>
  <si>
    <t>R01-machine-007</t>
  </si>
  <si>
    <t>Operator R01-O007</t>
  </si>
  <si>
    <t>Operator-R01007</t>
  </si>
  <si>
    <t>/sparkreports/v1/sites/65f442f850fb845c6038232d2c081b1c/jobs/2600630a-ff0f-11eb-baa1-a0cec8da9a51/hauls/b7336e39-9041-44e2-bc3b-bcd6e3c5594e/trails?column=coordinates</t>
  </si>
  <si>
    <t>https://us-qa-api.sitelink.topcon.com:443/sparkreports/v1/sites/65f442f850fb845c6038232d2c081b1c/jobs/2600630a-ff0f-11eb-baa1-a0cec8da9a51/hauls/b7336e39-9041-44e2-bc3b-bcd6e3c5594e/trails?column=coordinates</t>
  </si>
  <si>
    <t>2f283de8-d07d-462b-8e96-35eff4500361</t>
  </si>
  <si>
    <t>urn:X-topcon:machine:ac:truck:oem:nonesuch:model::sn::id:M01-012</t>
  </si>
  <si>
    <t>R01-machine-012</t>
  </si>
  <si>
    <t>Operator R01-O012</t>
  </si>
  <si>
    <t>Operator-R01012</t>
  </si>
  <si>
    <t>/sparkreports/v1/sites/65f442f850fb845c6038232d2c081b1c/jobs/2600630a-ff0f-11eb-baa1-a0cec8da9a51/hauls/2f283de8-d07d-462b-8e96-35eff4500361/trails?column=coordinates</t>
  </si>
  <si>
    <t>https://us-qa-api.sitelink.topcon.com:443/sparkreports/v1/sites/65f442f850fb845c6038232d2c081b1c/jobs/2600630a-ff0f-11eb-baa1-a0cec8da9a51/hauls/2f283de8-d07d-462b-8e96-35eff4500361/trails?column=coordinates</t>
  </si>
  <si>
    <t>063d25ce-1901-4c3f-864d-6252ca006bd1</t>
  </si>
  <si>
    <t>urn:X-topcon:machine:ac:truck:oem:nonesuch:model::sn::id:M01-045</t>
  </si>
  <si>
    <t>R01-machine-045</t>
  </si>
  <si>
    <t>Operator R01-O045</t>
  </si>
  <si>
    <t>Operator-R01045</t>
  </si>
  <si>
    <t>/sparkreports/v1/sites/65f442f850fb845c6038232d2c081b1c/jobs/2600630a-ff0f-11eb-baa1-a0cec8da9a51/hauls/063d25ce-1901-4c3f-864d-6252ca006bd1/trails?column=coordinates</t>
  </si>
  <si>
    <t>https://us-qa-api.sitelink.topcon.com:443/sparkreports/v1/sites/65f442f850fb845c6038232d2c081b1c/jobs/2600630a-ff0f-11eb-baa1-a0cec8da9a51/hauls/063d25ce-1901-4c3f-864d-6252ca006bd1/trails?column=coordinates</t>
  </si>
  <si>
    <t>7e42b842-26d0-45ab-818e-bc601a5c0688</t>
  </si>
  <si>
    <t>urn:X-topcon:machine:ac:truck:oem:nonesuch:model::sn::id:M02-016</t>
  </si>
  <si>
    <t>R02-machine-016</t>
  </si>
  <si>
    <t>Operator R02-O016</t>
  </si>
  <si>
    <t>Operator-R02016</t>
  </si>
  <si>
    <t>/sparkreports/v1/sites/65f442f850fb845c6038232d2c081b1c/jobs/2600630a-ff0f-11eb-baa1-a0cec8da9a51/hauls/7e42b842-26d0-45ab-818e-bc601a5c0688/trails?column=coordinates</t>
  </si>
  <si>
    <t>https://us-qa-api.sitelink.topcon.com:443/sparkreports/v1/sites/65f442f850fb845c6038232d2c081b1c/jobs/2600630a-ff0f-11eb-baa1-a0cec8da9a51/hauls/7e42b842-26d0-45ab-818e-bc601a5c0688/trails?column=coordinates</t>
  </si>
  <si>
    <t>fa12a5b2-ee32-4575-9940-9927eed96539</t>
  </si>
  <si>
    <t>urn:X-topcon:machine:ac:truck:oem:nonesuch:model::sn::id:M02-056</t>
  </si>
  <si>
    <t>R02-machine-056</t>
  </si>
  <si>
    <t>Operator R02-O056</t>
  </si>
  <si>
    <t>Operator-R02056</t>
  </si>
  <si>
    <t>/sparkreports/v1/sites/65f442f850fb845c6038232d2c081b1c/jobs/2600630a-ff0f-11eb-baa1-a0cec8da9a51/hauls/fa12a5b2-ee32-4575-9940-9927eed96539/trails?column=coordinates</t>
  </si>
  <si>
    <t>https://us-qa-api.sitelink.topcon.com:443/sparkreports/v1/sites/65f442f850fb845c6038232d2c081b1c/jobs/2600630a-ff0f-11eb-baa1-a0cec8da9a51/hauls/fa12a5b2-ee32-4575-9940-9927eed96539/trails?column=coordinates</t>
  </si>
  <si>
    <t>1dccc877-c80f-4425-bea7-d94af0d2758d</t>
  </si>
  <si>
    <t>urn:X-topcon:machine:ac:truck:oem:nonesuch:model::sn::id:M02-096</t>
  </si>
  <si>
    <t>R02-machine-096</t>
  </si>
  <si>
    <t>Operator R02-O096</t>
  </si>
  <si>
    <t>Operator-R02096</t>
  </si>
  <si>
    <t>/sparkreports/v1/sites/65f442f850fb845c6038232d2c081b1c/jobs/2600630a-ff0f-11eb-baa1-a0cec8da9a51/hauls/1dccc877-c80f-4425-bea7-d94af0d2758d/trails?column=coordinates</t>
  </si>
  <si>
    <t>https://us-qa-api.sitelink.topcon.com:443/sparkreports/v1/sites/65f442f850fb845c6038232d2c081b1c/jobs/2600630a-ff0f-11eb-baa1-a0cec8da9a51/hauls/1dccc877-c80f-4425-bea7-d94af0d2758d/trails?column=coordinates</t>
  </si>
  <si>
    <t>bf36b9bd-79c8-4b69-a15e-086a6656f9fa</t>
  </si>
  <si>
    <t>urn:X-topcon:machine:ac:truck:oem:nonesuch:model::sn::id:M01-040</t>
  </si>
  <si>
    <t>R01-machine-040</t>
  </si>
  <si>
    <t>Operator R01-O040</t>
  </si>
  <si>
    <t>Operator-R01040</t>
  </si>
  <si>
    <t>/sparkreports/v1/sites/65f442f850fb845c6038232d2c081b1c/jobs/2600630a-ff0f-11eb-baa1-a0cec8da9a51/hauls/bf36b9bd-79c8-4b69-a15e-086a6656f9fa/trails?column=coordinates</t>
  </si>
  <si>
    <t>https://us-qa-api.sitelink.topcon.com:443/sparkreports/v1/sites/65f442f850fb845c6038232d2c081b1c/jobs/2600630a-ff0f-11eb-baa1-a0cec8da9a51/hauls/bf36b9bd-79c8-4b69-a15e-086a6656f9fa/trails?column=coordinates</t>
  </si>
  <si>
    <t>4143d66a-125b-493f-86b7-b6e11d14e547</t>
  </si>
  <si>
    <t>urn:X-topcon:machine:ac:truck:oem:nonesuch:model::sn::id:M01-022</t>
  </si>
  <si>
    <t>R01-machine-022</t>
  </si>
  <si>
    <t>Operator R01-O022</t>
  </si>
  <si>
    <t>Operator-R01022</t>
  </si>
  <si>
    <t>/sparkreports/v1/sites/65f442f850fb845c6038232d2c081b1c/jobs/2600630a-ff0f-11eb-baa1-a0cec8da9a51/hauls/4143d66a-125b-493f-86b7-b6e11d14e547/trails?column=coordinates</t>
  </si>
  <si>
    <t>https://us-qa-api.sitelink.topcon.com:443/sparkreports/v1/sites/65f442f850fb845c6038232d2c081b1c/jobs/2600630a-ff0f-11eb-baa1-a0cec8da9a51/hauls/4143d66a-125b-493f-86b7-b6e11d14e547/trails?column=coordinates</t>
  </si>
  <si>
    <t>ca9fcadc-035c-494f-94d3-a5708a4cb4e1</t>
  </si>
  <si>
    <t>urn:X-topcon:machine:ac:truck:oem:nonesuch:model::sn::id:M01-017</t>
  </si>
  <si>
    <t>R01-machine-017</t>
  </si>
  <si>
    <t>Operator R01-O017</t>
  </si>
  <si>
    <t>Operator-R01017</t>
  </si>
  <si>
    <t>/sparkreports/v1/sites/65f442f850fb845c6038232d2c081b1c/jobs/2600630a-ff0f-11eb-baa1-a0cec8da9a51/hauls/ca9fcadc-035c-494f-94d3-a5708a4cb4e1/trails?column=coordinates</t>
  </si>
  <si>
    <t>https://us-qa-api.sitelink.topcon.com:443/sparkreports/v1/sites/65f442f850fb845c6038232d2c081b1c/jobs/2600630a-ff0f-11eb-baa1-a0cec8da9a51/hauls/ca9fcadc-035c-494f-94d3-a5708a4cb4e1/trails?column=coordinates</t>
  </si>
  <si>
    <t>13bf554a-baa1-4199-9a7a-dc44083dcb59</t>
  </si>
  <si>
    <t>urn:X-topcon:machine:ac:truck:oem:nonesuch:model::sn::id:M02-065</t>
  </si>
  <si>
    <t>R02-machine-065</t>
  </si>
  <si>
    <t>Operator R02-O065</t>
  </si>
  <si>
    <t>Operator-R02065</t>
  </si>
  <si>
    <t>/sparkreports/v1/sites/65f442f850fb845c6038232d2c081b1c/jobs/2600630a-ff0f-11eb-baa1-a0cec8da9a51/hauls/13bf554a-baa1-4199-9a7a-dc44083dcb59/trails?column=coordinates</t>
  </si>
  <si>
    <t>https://us-qa-api.sitelink.topcon.com:443/sparkreports/v1/sites/65f442f850fb845c6038232d2c081b1c/jobs/2600630a-ff0f-11eb-baa1-a0cec8da9a51/hauls/13bf554a-baa1-4199-9a7a-dc44083dcb59/trails?column=coordinates</t>
  </si>
  <si>
    <t>6db68fb2-6d06-442e-bf12-2a89b7c4b31d</t>
  </si>
  <si>
    <t>urn:X-topcon:machine:ac:truck:oem:nonesuch:model::sn::id:M02-025</t>
  </si>
  <si>
    <t>R02-machine-025</t>
  </si>
  <si>
    <t>Operator R02-O025</t>
  </si>
  <si>
    <t>Operator-R02025</t>
  </si>
  <si>
    <t>/sparkreports/v1/sites/65f442f850fb845c6038232d2c081b1c/jobs/2600630a-ff0f-11eb-baa1-a0cec8da9a51/hauls/6db68fb2-6d06-442e-bf12-2a89b7c4b31d/trails?column=coordinates</t>
  </si>
  <si>
    <t>https://us-qa-api.sitelink.topcon.com:443/sparkreports/v1/sites/65f442f850fb845c6038232d2c081b1c/jobs/2600630a-ff0f-11eb-baa1-a0cec8da9a51/hauls/6db68fb2-6d06-442e-bf12-2a89b7c4b31d/trails?column=coordinates</t>
  </si>
  <si>
    <t>87484a24-c653-4cd5-add7-326032cf7000</t>
  </si>
  <si>
    <t>urn:X-topcon:machine:ac:truck:oem:nonesuch:model::sn::id:M01-032</t>
  </si>
  <si>
    <t>R01-machine-032</t>
  </si>
  <si>
    <t>Operator R01-O032</t>
  </si>
  <si>
    <t>Operator-R01032</t>
  </si>
  <si>
    <t>/sparkreports/v1/sites/65f442f850fb845c6038232d2c081b1c/jobs/2600630a-ff0f-11eb-baa1-a0cec8da9a51/hauls/87484a24-c653-4cd5-add7-326032cf7000/trails?column=coordinates</t>
  </si>
  <si>
    <t>https://us-qa-api.sitelink.topcon.com:443/sparkreports/v1/sites/65f442f850fb845c6038232d2c081b1c/jobs/2600630a-ff0f-11eb-baa1-a0cec8da9a51/hauls/87484a24-c653-4cd5-add7-326032cf7000/trails?column=coordinates</t>
  </si>
  <si>
    <t>2c14d5d1-5db5-45d3-b17d-0efc7d4e0292</t>
  </si>
  <si>
    <t>urn:X-topcon:machine:ac:truck:oem:nonesuch:model::sn::id:M01-027</t>
  </si>
  <si>
    <t>R01-machine-027</t>
  </si>
  <si>
    <t>Operator R01-O027</t>
  </si>
  <si>
    <t>Operator-R01027</t>
  </si>
  <si>
    <t>/sparkreports/v1/sites/65f442f850fb845c6038232d2c081b1c/jobs/2600630a-ff0f-11eb-baa1-a0cec8da9a51/hauls/2c14d5d1-5db5-45d3-b17d-0efc7d4e0292/trails?column=coordinates</t>
  </si>
  <si>
    <t>https://us-qa-api.sitelink.topcon.com:443/sparkreports/v1/sites/65f442f850fb845c6038232d2c081b1c/jobs/2600630a-ff0f-11eb-baa1-a0cec8da9a51/hauls/2c14d5d1-5db5-45d3-b17d-0efc7d4e0292/trails?column=coordinates</t>
  </si>
  <si>
    <t>27578240-9b8c-413d-a33f-6bca78f05336</t>
  </si>
  <si>
    <t>urn:X-topcon:machine:ac:truck:oem:nonesuch:model::sn::id:M02-034</t>
  </si>
  <si>
    <t>R02-machine-034</t>
  </si>
  <si>
    <t>Operator R02-O034</t>
  </si>
  <si>
    <t>Operator-R02034</t>
  </si>
  <si>
    <t>/sparkreports/v1/sites/65f442f850fb845c6038232d2c081b1c/jobs/2600630a-ff0f-11eb-baa1-a0cec8da9a51/hauls/27578240-9b8c-413d-a33f-6bca78f05336/trails?column=coordinates</t>
  </si>
  <si>
    <t>https://us-qa-api.sitelink.topcon.com:443/sparkreports/v1/sites/65f442f850fb845c6038232d2c081b1c/jobs/2600630a-ff0f-11eb-baa1-a0cec8da9a51/hauls/27578240-9b8c-413d-a33f-6bca78f05336/trails?column=coordinates</t>
  </si>
  <si>
    <t>d2ac0eae-3e49-4b4b-b587-81c6eb3b0818</t>
  </si>
  <si>
    <t>urn:X-topcon:machine:ac:truck:oem:nonesuch:model::sn::id:M02-074</t>
  </si>
  <si>
    <t>R02-machine-074</t>
  </si>
  <si>
    <t>Operator R02-O074</t>
  </si>
  <si>
    <t>Operator-R02074</t>
  </si>
  <si>
    <t>/sparkreports/v1/sites/65f442f850fb845c6038232d2c081b1c/jobs/2600630a-ff0f-11eb-baa1-a0cec8da9a51/hauls/d2ac0eae-3e49-4b4b-b587-81c6eb3b0818/trails?column=coordinates</t>
  </si>
  <si>
    <t>https://us-qa-api.sitelink.topcon.com:443/sparkreports/v1/sites/65f442f850fb845c6038232d2c081b1c/jobs/2600630a-ff0f-11eb-baa1-a0cec8da9a51/hauls/d2ac0eae-3e49-4b4b-b587-81c6eb3b0818/trails?column=coordinates</t>
  </si>
  <si>
    <t>2cf8cf69-b4ff-43ac-acb7-025dbadb5bd5</t>
  </si>
  <si>
    <t>urn:X-topcon:machine:ac:truck:oem:nonesuch:model::sn::id:M01-009</t>
  </si>
  <si>
    <t>R01-machine-009</t>
  </si>
  <si>
    <t>Operator R01-O009</t>
  </si>
  <si>
    <t>Operator-R01009</t>
  </si>
  <si>
    <t>/sparkreports/v1/sites/65f442f850fb845c6038232d2c081b1c/jobs/2600630a-ff0f-11eb-baa1-a0cec8da9a51/hauls/2cf8cf69-b4ff-43ac-acb7-025dbadb5bd5/trails?column=coordinates</t>
  </si>
  <si>
    <t>https://us-qa-api.sitelink.topcon.com:443/sparkreports/v1/sites/65f442f850fb845c6038232d2c081b1c/jobs/2600630a-ff0f-11eb-baa1-a0cec8da9a51/hauls/2cf8cf69-b4ff-43ac-acb7-025dbadb5bd5/trails?column=coordinates</t>
  </si>
  <si>
    <t>171b69a3-fc3e-4a11-ae41-e9cb2177164e</t>
  </si>
  <si>
    <t>urn:X-topcon:machine:ac:truck:oem:nonesuch:model::sn::id:M01-004</t>
  </si>
  <si>
    <t>R01-machine-004</t>
  </si>
  <si>
    <t>Operator R01-O004</t>
  </si>
  <si>
    <t>Operator-R01004</t>
  </si>
  <si>
    <t>/sparkreports/v1/sites/65f442f850fb845c6038232d2c081b1c/jobs/2600630a-ff0f-11eb-baa1-a0cec8da9a51/hauls/171b69a3-fc3e-4a11-ae41-e9cb2177164e/trails?column=coordinates</t>
  </si>
  <si>
    <t>https://us-qa-api.sitelink.topcon.com:443/sparkreports/v1/sites/65f442f850fb845c6038232d2c081b1c/jobs/2600630a-ff0f-11eb-baa1-a0cec8da9a51/hauls/171b69a3-fc3e-4a11-ae41-e9cb2177164e/trails?column=coordinates</t>
  </si>
  <si>
    <t>84886995-2e6e-4748-bea4-8364be249f04</t>
  </si>
  <si>
    <t>urn:X-topcon:machine:ac:truck:oem:nonesuch:model::sn::id:M02-003</t>
  </si>
  <si>
    <t>R02-machine-003</t>
  </si>
  <si>
    <t>Operator R02-O003</t>
  </si>
  <si>
    <t>Operator-R02003</t>
  </si>
  <si>
    <t>/sparkreports/v1/sites/65f442f850fb845c6038232d2c081b1c/jobs/2600630a-ff0f-11eb-baa1-a0cec8da9a51/hauls/84886995-2e6e-4748-bea4-8364be249f04/trails?column=coordinates</t>
  </si>
  <si>
    <t>https://us-qa-api.sitelink.topcon.com:443/sparkreports/v1/sites/65f442f850fb845c6038232d2c081b1c/jobs/2600630a-ff0f-11eb-baa1-a0cec8da9a51/hauls/84886995-2e6e-4748-bea4-8364be249f04/trails?column=coordinates</t>
  </si>
  <si>
    <t>bf4346ae-dbb6-45ed-a523-4c52218548e6</t>
  </si>
  <si>
    <t>urn:X-topcon:machine:ac:truck:oem:nonesuch:model::sn::id:M01-042</t>
  </si>
  <si>
    <t>R01-machine-042</t>
  </si>
  <si>
    <t>Operator R01-O042</t>
  </si>
  <si>
    <t>Operator-R01042</t>
  </si>
  <si>
    <t>/sparkreports/v1/sites/65f442f850fb845c6038232d2c081b1c/jobs/2600630a-ff0f-11eb-baa1-a0cec8da9a51/hauls/bf4346ae-dbb6-45ed-a523-4c52218548e6/trails?column=coordinates</t>
  </si>
  <si>
    <t>https://us-qa-api.sitelink.topcon.com:443/sparkreports/v1/sites/65f442f850fb845c6038232d2c081b1c/jobs/2600630a-ff0f-11eb-baa1-a0cec8da9a51/hauls/bf4346ae-dbb6-45ed-a523-4c52218548e6/trails?column=coordinates</t>
  </si>
  <si>
    <t>87a1f8a7-246a-477d-89de-8564b8f60597</t>
  </si>
  <si>
    <t>urn:X-topcon:machine:ac:truck:oem:nonesuch:model::sn::id:M02-043</t>
  </si>
  <si>
    <t>R02-machine-043</t>
  </si>
  <si>
    <t>Operator R02-O043</t>
  </si>
  <si>
    <t>Operator-R02043</t>
  </si>
  <si>
    <t>/sparkreports/v1/sites/65f442f850fb845c6038232d2c081b1c/jobs/2600630a-ff0f-11eb-baa1-a0cec8da9a51/hauls/87a1f8a7-246a-477d-89de-8564b8f60597/trails?column=coordinates</t>
  </si>
  <si>
    <t>https://us-qa-api.sitelink.topcon.com:443/sparkreports/v1/sites/65f442f850fb845c6038232d2c081b1c/jobs/2600630a-ff0f-11eb-baa1-a0cec8da9a51/hauls/87a1f8a7-246a-477d-89de-8564b8f60597/trails?column=coordinates</t>
  </si>
  <si>
    <t>7872a415-9161-42ba-960e-5974a8aad2ae</t>
  </si>
  <si>
    <t>urn:X-topcon:machine:ac:truck:oem:nonesuch:model::sn::id:M02-083</t>
  </si>
  <si>
    <t>R02-machine-083</t>
  </si>
  <si>
    <t>Operator R02-O083</t>
  </si>
  <si>
    <t>Operator-R02083</t>
  </si>
  <si>
    <t>/sparkreports/v1/sites/65f442f850fb845c6038232d2c081b1c/jobs/2600630a-ff0f-11eb-baa1-a0cec8da9a51/hauls/7872a415-9161-42ba-960e-5974a8aad2ae/trails?column=coordinates</t>
  </si>
  <si>
    <t>https://us-qa-api.sitelink.topcon.com:443/sparkreports/v1/sites/65f442f850fb845c6038232d2c081b1c/jobs/2600630a-ff0f-11eb-baa1-a0cec8da9a51/hauls/7872a415-9161-42ba-960e-5974a8aad2ae/trails?column=coordinates</t>
  </si>
  <si>
    <t>f389fa34-c0c5-40a2-b11a-b26b374ae6c4</t>
  </si>
  <si>
    <t>urn:X-topcon:machine:ac:truck:oem:nonesuch:model::sn::id:M01-037</t>
  </si>
  <si>
    <t>R01-machine-037</t>
  </si>
  <si>
    <t>Operator R01-O037</t>
  </si>
  <si>
    <t>Operator-R01037</t>
  </si>
  <si>
    <t>/sparkreports/v1/sites/65f442f850fb845c6038232d2c081b1c/jobs/2600630a-ff0f-11eb-baa1-a0cec8da9a51/hauls/f389fa34-c0c5-40a2-b11a-b26b374ae6c4/trails?column=coordinates</t>
  </si>
  <si>
    <t>https://us-qa-api.sitelink.topcon.com:443/sparkreports/v1/sites/65f442f850fb845c6038232d2c081b1c/jobs/2600630a-ff0f-11eb-baa1-a0cec8da9a51/hauls/f389fa34-c0c5-40a2-b11a-b26b374ae6c4/trails?column=coordinates</t>
  </si>
  <si>
    <t>c62e7c48-a3f2-4fa7-9b9c-dd76420362a6</t>
  </si>
  <si>
    <t>urn:X-topcon:machine:ac:truck:oem:nonesuch:model::sn::id:M01-014</t>
  </si>
  <si>
    <t>R01-machine-014</t>
  </si>
  <si>
    <t>Operator R01-O014</t>
  </si>
  <si>
    <t>Operator-R01014</t>
  </si>
  <si>
    <t>/sparkreports/v1/sites/65f442f850fb845c6038232d2c081b1c/jobs/2600630a-ff0f-11eb-baa1-a0cec8da9a51/hauls/c62e7c48-a3f2-4fa7-9b9c-dd76420362a6/trails?column=coordinates</t>
  </si>
  <si>
    <t>https://us-qa-api.sitelink.topcon.com:443/sparkreports/v1/sites/65f442f850fb845c6038232d2c081b1c/jobs/2600630a-ff0f-11eb-baa1-a0cec8da9a51/hauls/c62e7c48-a3f2-4fa7-9b9c-dd76420362a6/trails?column=coordinates</t>
  </si>
  <si>
    <t>04b4ca1a-5db2-4842-8d25-63500e38782b</t>
  </si>
  <si>
    <t>urn:X-topcon:machine:ac:truck:oem:nonesuch:model::sn::id:M01-047</t>
  </si>
  <si>
    <t>R01-machine-047</t>
  </si>
  <si>
    <t>Operator R01-O047</t>
  </si>
  <si>
    <t>Operator-R01047</t>
  </si>
  <si>
    <t>/sparkreports/v1/sites/65f442f850fb845c6038232d2c081b1c/jobs/2600630a-ff0f-11eb-baa1-a0cec8da9a51/hauls/04b4ca1a-5db2-4842-8d25-63500e38782b/trails?column=coordinates</t>
  </si>
  <si>
    <t>https://us-qa-api.sitelink.topcon.com:443/sparkreports/v1/sites/65f442f850fb845c6038232d2c081b1c/jobs/2600630a-ff0f-11eb-baa1-a0cec8da9a51/hauls/04b4ca1a-5db2-4842-8d25-63500e38782b/trails?column=coordinates</t>
  </si>
  <si>
    <t>a3d2d4ac-b9c2-43b4-8654-8417fea8a63f</t>
  </si>
  <si>
    <t>urn:X-topcon:machine:ac:truck:oem:nonesuch:model::sn::id:M02-012</t>
  </si>
  <si>
    <t>R02-machine-012</t>
  </si>
  <si>
    <t>Operator R02-O012</t>
  </si>
  <si>
    <t>Operator-R02012</t>
  </si>
  <si>
    <t>/sparkreports/v1/sites/65f442f850fb845c6038232d2c081b1c/jobs/2600630a-ff0f-11eb-baa1-a0cec8da9a51/hauls/a3d2d4ac-b9c2-43b4-8654-8417fea8a63f/trails?column=coordinates</t>
  </si>
  <si>
    <t>https://us-qa-api.sitelink.topcon.com:443/sparkreports/v1/sites/65f442f850fb845c6038232d2c081b1c/jobs/2600630a-ff0f-11eb-baa1-a0cec8da9a51/hauls/a3d2d4ac-b9c2-43b4-8654-8417fea8a63f/trails?column=coordinates</t>
  </si>
  <si>
    <t>2b1f3aab-059e-4b88-9bb9-63dc26ce061e</t>
  </si>
  <si>
    <t>urn:X-topcon:machine:ac:truck:oem:nonesuch:model::sn::id:M02-092</t>
  </si>
  <si>
    <t>R02-machine-092</t>
  </si>
  <si>
    <t>Operator R02-O092</t>
  </si>
  <si>
    <t>Operator-R02092</t>
  </si>
  <si>
    <t>/sparkreports/v1/sites/65f442f850fb845c6038232d2c081b1c/jobs/2600630a-ff0f-11eb-baa1-a0cec8da9a51/hauls/2b1f3aab-059e-4b88-9bb9-63dc26ce061e/trails?column=coordinates</t>
  </si>
  <si>
    <t>https://us-qa-api.sitelink.topcon.com:443/sparkreports/v1/sites/65f442f850fb845c6038232d2c081b1c/jobs/2600630a-ff0f-11eb-baa1-a0cec8da9a51/hauls/2b1f3aab-059e-4b88-9bb9-63dc26ce061e/trails?column=coordinates</t>
  </si>
  <si>
    <t>c6f09b82-045a-4aab-91a5-d8b7cad8fde1</t>
  </si>
  <si>
    <t>urn:X-topcon:machine:ac:truck:oem:nonesuch:model::sn::id:M02-052</t>
  </si>
  <si>
    <t>R02-machine-052</t>
  </si>
  <si>
    <t>Operator R02-O052</t>
  </si>
  <si>
    <t>Operator-R02052</t>
  </si>
  <si>
    <t>/sparkreports/v1/sites/65f442f850fb845c6038232d2c081b1c/jobs/2600630a-ff0f-11eb-baa1-a0cec8da9a51/hauls/c6f09b82-045a-4aab-91a5-d8b7cad8fde1/trails?column=coordinates</t>
  </si>
  <si>
    <t>https://us-qa-api.sitelink.topcon.com:443/sparkreports/v1/sites/65f442f850fb845c6038232d2c081b1c/jobs/2600630a-ff0f-11eb-baa1-a0cec8da9a51/hauls/c6f09b82-045a-4aab-91a5-d8b7cad8fde1/trails?column=coordinates</t>
  </si>
  <si>
    <t>5f360221-8b9d-4c9a-819a-ae8537dd79d4</t>
  </si>
  <si>
    <t>urn:X-topcon:machine:ac:truck:oem:nonesuch:model::sn::id:M02-021</t>
  </si>
  <si>
    <t>R02-machine-021</t>
  </si>
  <si>
    <t>Operator R02-O021</t>
  </si>
  <si>
    <t>Operator-R02021</t>
  </si>
  <si>
    <t>/sparkreports/v1/sites/65f442f850fb845c6038232d2c081b1c/jobs/2600630a-ff0f-11eb-baa1-a0cec8da9a51/hauls/5f360221-8b9d-4c9a-819a-ae8537dd79d4/trails?column=coordinates</t>
  </si>
  <si>
    <t>https://us-qa-api.sitelink.topcon.com:443/sparkreports/v1/sites/65f442f850fb845c6038232d2c081b1c/jobs/2600630a-ff0f-11eb-baa1-a0cec8da9a51/hauls/5f360221-8b9d-4c9a-819a-ae8537dd79d4/trails?column=coordinates</t>
  </si>
  <si>
    <t>1aee5e55-78d8-44ec-a5db-1a0e6aa9b1c9</t>
  </si>
  <si>
    <t>urn:X-topcon:machine:ac:truck:oem:nonesuch:model::sn::id:M02-061</t>
  </si>
  <si>
    <t>R02-machine-061</t>
  </si>
  <si>
    <t>Operator R02-O061</t>
  </si>
  <si>
    <t>Operator-R02061</t>
  </si>
  <si>
    <t>/sparkreports/v1/sites/65f442f850fb845c6038232d2c081b1c/jobs/2600630a-ff0f-11eb-baa1-a0cec8da9a51/hauls/1aee5e55-78d8-44ec-a5db-1a0e6aa9b1c9/trails?column=coordinates</t>
  </si>
  <si>
    <t>https://us-qa-api.sitelink.topcon.com:443/sparkreports/v1/sites/65f442f850fb845c6038232d2c081b1c/jobs/2600630a-ff0f-11eb-baa1-a0cec8da9a51/hauls/1aee5e55-78d8-44ec-a5db-1a0e6aa9b1c9/trails?column=coordinates</t>
  </si>
  <si>
    <t>a7794989-2fce-45cd-b016-f247ab461460</t>
  </si>
  <si>
    <t>urn:X-topcon:machine:ac:truck:oem:nonesuch:model::sn::id:M02-070</t>
  </si>
  <si>
    <t>R02-machine-070</t>
  </si>
  <si>
    <t>Operator R02-O070</t>
  </si>
  <si>
    <t>Operator-R02070</t>
  </si>
  <si>
    <t>/sparkreports/v1/sites/65f442f850fb845c6038232d2c081b1c/jobs/2600630a-ff0f-11eb-baa1-a0cec8da9a51/hauls/a7794989-2fce-45cd-b016-f247ab461460/trails?column=coordinates</t>
  </si>
  <si>
    <t>https://us-qa-api.sitelink.topcon.com:443/sparkreports/v1/sites/65f442f850fb845c6038232d2c081b1c/jobs/2600630a-ff0f-11eb-baa1-a0cec8da9a51/hauls/a7794989-2fce-45cd-b016-f247ab461460/trails?column=coordinates</t>
  </si>
  <si>
    <t>f757a800-25be-4106-bf8b-a89898b3209c</t>
  </si>
  <si>
    <t>urn:X-topcon:machine:ac:truck:oem:nonesuch:model::sn::id:M02-030</t>
  </si>
  <si>
    <t>R02-machine-030</t>
  </si>
  <si>
    <t>Operator R02-O030</t>
  </si>
  <si>
    <t>Operator-R02030</t>
  </si>
  <si>
    <t>/sparkreports/v1/sites/65f442f850fb845c6038232d2c081b1c/jobs/2600630a-ff0f-11eb-baa1-a0cec8da9a51/hauls/f757a800-25be-4106-bf8b-a89898b3209c/trails?column=coordinates</t>
  </si>
  <si>
    <t>https://us-qa-api.sitelink.topcon.com:443/sparkreports/v1/sites/65f442f850fb845c6038232d2c081b1c/jobs/2600630a-ff0f-11eb-baa1-a0cec8da9a51/hauls/f757a800-25be-4106-bf8b-a89898b3209c/trails?column=coordinates</t>
  </si>
  <si>
    <t>a997e9bf-539f-42e1-8ca5-2712ec4b5733</t>
  </si>
  <si>
    <t>urn:X-topcon:machine:ac:truck:oem:nonesuch:model::sn::id:M02-079</t>
  </si>
  <si>
    <t>R02-machine-079</t>
  </si>
  <si>
    <t>Operator R02-O079</t>
  </si>
  <si>
    <t>Operator-R02079</t>
  </si>
  <si>
    <t>/sparkreports/v1/sites/65f442f850fb845c6038232d2c081b1c/jobs/2600630a-ff0f-11eb-baa1-a0cec8da9a51/hauls/a997e9bf-539f-42e1-8ca5-2712ec4b5733/trails?column=coordinates</t>
  </si>
  <si>
    <t>https://us-qa-api.sitelink.topcon.com:443/sparkreports/v1/sites/65f442f850fb845c6038232d2c081b1c/jobs/2600630a-ff0f-11eb-baa1-a0cec8da9a51/hauls/a997e9bf-539f-42e1-8ca5-2712ec4b5733/trails?column=coordinates</t>
  </si>
  <si>
    <t>03455fb6-3ea5-48cf-a584-110302283d5d</t>
  </si>
  <si>
    <t>urn:X-topcon:machine:ac:truck:oem:nonesuch:model::sn::id:M02-039</t>
  </si>
  <si>
    <t>R02-machine-039</t>
  </si>
  <si>
    <t>Operator R02-O039</t>
  </si>
  <si>
    <t>Operator-R02039</t>
  </si>
  <si>
    <t>/sparkreports/v1/sites/65f442f850fb845c6038232d2c081b1c/jobs/2600630a-ff0f-11eb-baa1-a0cec8da9a51/hauls/03455fb6-3ea5-48cf-a584-110302283d5d/trails?column=coordinates</t>
  </si>
  <si>
    <t>https://us-qa-api.sitelink.topcon.com:443/sparkreports/v1/sites/65f442f850fb845c6038232d2c081b1c/jobs/2600630a-ff0f-11eb-baa1-a0cec8da9a51/hauls/03455fb6-3ea5-48cf-a584-110302283d5d/trails?column=coordinates</t>
  </si>
  <si>
    <t>6b3e5254-3395-435d-a6fe-eb0bfff56a04</t>
  </si>
  <si>
    <t>urn:X-topcon:machine:ac:truck:oem:nonesuch:model::sn::id:M02-008</t>
  </si>
  <si>
    <t>R02-machine-008</t>
  </si>
  <si>
    <t>Operator R02-O008</t>
  </si>
  <si>
    <t>Operator-R02008</t>
  </si>
  <si>
    <t>/sparkreports/v1/sites/65f442f850fb845c6038232d2c081b1c/jobs/2600630a-ff0f-11eb-baa1-a0cec8da9a51/hauls/6b3e5254-3395-435d-a6fe-eb0bfff56a04/trails?column=coordinates</t>
  </si>
  <si>
    <t>https://us-qa-api.sitelink.topcon.com:443/sparkreports/v1/sites/65f442f850fb845c6038232d2c081b1c/jobs/2600630a-ff0f-11eb-baa1-a0cec8da9a51/hauls/6b3e5254-3395-435d-a6fe-eb0bfff56a04/trails?column=coordinates</t>
  </si>
  <si>
    <t>ac9ab206-e552-489c-b8cb-d5020914bb39</t>
  </si>
  <si>
    <t>urn:X-topcon:machine:ac:truck:oem:nonesuch:model::sn::id:M02-088</t>
  </si>
  <si>
    <t>R02-machine-088</t>
  </si>
  <si>
    <t>Operator R02-O088</t>
  </si>
  <si>
    <t>Operator-R02088</t>
  </si>
  <si>
    <t>/sparkreports/v1/sites/65f442f850fb845c6038232d2c081b1c/jobs/2600630a-ff0f-11eb-baa1-a0cec8da9a51/hauls/ac9ab206-e552-489c-b8cb-d5020914bb39/trails?column=coordinates</t>
  </si>
  <si>
    <t>https://us-qa-api.sitelink.topcon.com:443/sparkreports/v1/sites/65f442f850fb845c6038232d2c081b1c/jobs/2600630a-ff0f-11eb-baa1-a0cec8da9a51/hauls/ac9ab206-e552-489c-b8cb-d5020914bb39/trails?column=coordinates</t>
  </si>
  <si>
    <t>d6938990-0839-4a3c-a574-4cd5f1576fcb</t>
  </si>
  <si>
    <t>urn:X-topcon:machine:ac:truck:oem:nonesuch:model::sn::id:M02-048</t>
  </si>
  <si>
    <t>R02-machine-048</t>
  </si>
  <si>
    <t>Operator R02-O048</t>
  </si>
  <si>
    <t>Operator-R02048</t>
  </si>
  <si>
    <t>/sparkreports/v1/sites/65f442f850fb845c6038232d2c081b1c/jobs/2600630a-ff0f-11eb-baa1-a0cec8da9a51/hauls/d6938990-0839-4a3c-a574-4cd5f1576fcb/trails?column=coordinates</t>
  </si>
  <si>
    <t>https://us-qa-api.sitelink.topcon.com:443/sparkreports/v1/sites/65f442f850fb845c6038232d2c081b1c/jobs/2600630a-ff0f-11eb-baa1-a0cec8da9a51/hauls/d6938990-0839-4a3c-a574-4cd5f1576fcb/trails?column=coordinates</t>
  </si>
  <si>
    <t>78bee601-2c51-4627-af63-298fa48e0974</t>
  </si>
  <si>
    <t>urn:X-topcon:machine:ac:truck:oem:nonesuch:model::sn::id:M02-057</t>
  </si>
  <si>
    <t>Quarry - Load Fill Dirt</t>
  </si>
  <si>
    <t>647490ec-1757-4bc7-aebc-f52cab0aea5b</t>
  </si>
  <si>
    <t>R02-machine-057</t>
  </si>
  <si>
    <t>Operator R02-O057</t>
  </si>
  <si>
    <t>Operator-R02057</t>
  </si>
  <si>
    <t>/sparkreports/v1/sites/65f442f850fb845c6038232d2c081b1c/jobs/2600630a-ff0f-11eb-baa1-a0cec8da9a51/hauls/78bee601-2c51-4627-af63-298fa48e0974/trails?column=coordinates</t>
  </si>
  <si>
    <t>https://us-qa-api.sitelink.topcon.com:443/sparkreports/v1/sites/65f442f850fb845c6038232d2c081b1c/jobs/2600630a-ff0f-11eb-baa1-a0cec8da9a51/hauls/78bee601-2c51-4627-af63-298fa48e0974/trails?column=coordinates</t>
  </si>
  <si>
    <t>c56a890b-db19-4618-8242-3ea3a797b973</t>
  </si>
  <si>
    <t>urn:X-topcon:machine:ac:truck:oem:nonesuch:model::sn::id:M01-024</t>
  </si>
  <si>
    <t>Airport - Load Broken Concrete</t>
  </si>
  <si>
    <t>032c90ed-4631-41b3-9cf1-eeca895cac8f</t>
  </si>
  <si>
    <t>R01-machine-024</t>
  </si>
  <si>
    <t>Operator R01-O024</t>
  </si>
  <si>
    <t>Operator-R01024</t>
  </si>
  <si>
    <t>/sparkreports/v1/sites/65f442f850fb845c6038232d2c081b1c/jobs/2600630a-ff0f-11eb-baa1-a0cec8da9a51/hauls/c56a890b-db19-4618-8242-3ea3a797b973/trails?column=coordinates</t>
  </si>
  <si>
    <t>https://us-qa-api.sitelink.topcon.com:443/sparkreports/v1/sites/65f442f850fb845c6038232d2c081b1c/jobs/2600630a-ff0f-11eb-baa1-a0cec8da9a51/hauls/c56a890b-db19-4618-8242-3ea3a797b973/trails?column=coordinates</t>
  </si>
  <si>
    <t>d5bb2cce-d7c6-4c3f-a262-43328069ecb5</t>
  </si>
  <si>
    <t>urn:X-topcon:machine:ac:truck:oem:nonesuch:model::sn::id:M02-017</t>
  </si>
  <si>
    <t>R02-machine-017</t>
  </si>
  <si>
    <t>Operator R02-O017</t>
  </si>
  <si>
    <t>Operator-R02017</t>
  </si>
  <si>
    <t>/sparkreports/v1/sites/65f442f850fb845c6038232d2c081b1c/jobs/2600630a-ff0f-11eb-baa1-a0cec8da9a51/hauls/d5bb2cce-d7c6-4c3f-a262-43328069ecb5/trails?column=coordinates</t>
  </si>
  <si>
    <t>https://us-qa-api.sitelink.topcon.com:443/sparkreports/v1/sites/65f442f850fb845c6038232d2c081b1c/jobs/2600630a-ff0f-11eb-baa1-a0cec8da9a51/hauls/d5bb2cce-d7c6-4c3f-a262-43328069ecb5/trails?column=coordinates</t>
  </si>
  <si>
    <t>831348d0-a648-4276-b74a-ace891393737</t>
  </si>
  <si>
    <t>urn:X-topcon:machine:ac:truck:oem:nonesuch:model::sn::id:M01-019</t>
  </si>
  <si>
    <t>Stockpile - Load 3/4 Ag Base</t>
  </si>
  <si>
    <t>821e46f3-1e46-47eb-ae2a-2979d3ec773b</t>
  </si>
  <si>
    <t>R01-machine-019</t>
  </si>
  <si>
    <t>Operator R01-O019</t>
  </si>
  <si>
    <t>Operator-R01019</t>
  </si>
  <si>
    <t>/sparkreports/v1/sites/65f442f850fb845c6038232d2c081b1c/jobs/2600630a-ff0f-11eb-baa1-a0cec8da9a51/hauls/831348d0-a648-4276-b74a-ace891393737/trails?column=coordinates</t>
  </si>
  <si>
    <t>https://us-qa-api.sitelink.topcon.com:443/sparkreports/v1/sites/65f442f850fb845c6038232d2c081b1c/jobs/2600630a-ff0f-11eb-baa1-a0cec8da9a51/hauls/831348d0-a648-4276-b74a-ace891393737/trails?column=coordinates</t>
  </si>
  <si>
    <t>950415ea-2cd4-4fb6-87c3-e8b5095145b5</t>
  </si>
  <si>
    <t>urn:X-topcon:machine:ac:truck:oem:nonesuch:model::sn::id:M02-097</t>
  </si>
  <si>
    <t>R02-machine-097</t>
  </si>
  <si>
    <t>Operator R02-O097</t>
  </si>
  <si>
    <t>Operator-R02097</t>
  </si>
  <si>
    <t>/sparkreports/v1/sites/65f442f850fb845c6038232d2c081b1c/jobs/2600630a-ff0f-11eb-baa1-a0cec8da9a51/hauls/950415ea-2cd4-4fb6-87c3-e8b5095145b5/trails?column=coordinates</t>
  </si>
  <si>
    <t>https://us-qa-api.sitelink.topcon.com:443/sparkreports/v1/sites/65f442f850fb845c6038232d2c081b1c/jobs/2600630a-ff0f-11eb-baa1-a0cec8da9a51/hauls/950415ea-2cd4-4fb6-87c3-e8b5095145b5/trails?column=coordinates</t>
  </si>
  <si>
    <t>35e3b0fa-319a-4c30-bb0b-10a2f9467aee</t>
  </si>
  <si>
    <t>urn:X-topcon:machine:ac:truck:oem:nonesuch:model::sn::id:M01-001</t>
  </si>
  <si>
    <t>R01-machine-001</t>
  </si>
  <si>
    <t>Operator R01-O001</t>
  </si>
  <si>
    <t>Operator-R01001</t>
  </si>
  <si>
    <t>/sparkreports/v1/sites/65f442f850fb845c6038232d2c081b1c/jobs/2600630a-ff0f-11eb-baa1-a0cec8da9a51/hauls/35e3b0fa-319a-4c30-bb0b-10a2f9467aee/trails?column=coordinates</t>
  </si>
  <si>
    <t>https://us-qa-api.sitelink.topcon.com:443/sparkreports/v1/sites/65f442f850fb845c6038232d2c081b1c/jobs/2600630a-ff0f-11eb-baa1-a0cec8da9a51/hauls/35e3b0fa-319a-4c30-bb0b-10a2f9467aee/trails?column=coordinates</t>
  </si>
  <si>
    <t>84971802-767c-44d0-af44-815b557a38cd</t>
  </si>
  <si>
    <t>urn:X-topcon:machine:ac:truck:oem:nonesuch:model::sn::id:M02-066</t>
  </si>
  <si>
    <t>R02-machine-066</t>
  </si>
  <si>
    <t>Operator R02-O066</t>
  </si>
  <si>
    <t>Operator-R02066</t>
  </si>
  <si>
    <t>/sparkreports/v1/sites/65f442f850fb845c6038232d2c081b1c/jobs/2600630a-ff0f-11eb-baa1-a0cec8da9a51/hauls/84971802-767c-44d0-af44-815b557a38cd/trails?column=coordinates</t>
  </si>
  <si>
    <t>https://us-qa-api.sitelink.topcon.com:443/sparkreports/v1/sites/65f442f850fb845c6038232d2c081b1c/jobs/2600630a-ff0f-11eb-baa1-a0cec8da9a51/hauls/84971802-767c-44d0-af44-815b557a38cd/trails?column=coordinates</t>
  </si>
  <si>
    <t>363c7d62-9bd1-491c-b573-33d98c1bd91d</t>
  </si>
  <si>
    <t>urn:X-topcon:machine:ac:truck:oem:nonesuch:model::sn::id:M02-026</t>
  </si>
  <si>
    <t>R02-machine-026</t>
  </si>
  <si>
    <t>Operator R02-O026</t>
  </si>
  <si>
    <t>Operator-R02026</t>
  </si>
  <si>
    <t>/sparkreports/v1/sites/65f442f850fb845c6038232d2c081b1c/jobs/2600630a-ff0f-11eb-baa1-a0cec8da9a51/hauls/363c7d62-9bd1-491c-b573-33d98c1bd91d/trails?column=coordinates</t>
  </si>
  <si>
    <t>https://us-qa-api.sitelink.topcon.com:443/sparkreports/v1/sites/65f442f850fb845c6038232d2c081b1c/jobs/2600630a-ff0f-11eb-baa1-a0cec8da9a51/hauls/363c7d62-9bd1-491c-b573-33d98c1bd91d/trails?column=coordinates</t>
  </si>
  <si>
    <t>37a5c0f2-8af3-4c8c-a2a7-c27a8c640d82</t>
  </si>
  <si>
    <t>urn:X-topcon:machine:ac:truck:oem:nonesuch:model::sn::id:M01-034</t>
  </si>
  <si>
    <t>R01-machine-034</t>
  </si>
  <si>
    <t>Operator R01-O034</t>
  </si>
  <si>
    <t>Operator-R01034</t>
  </si>
  <si>
    <t>/sparkreports/v1/sites/65f442f850fb845c6038232d2c081b1c/jobs/2600630a-ff0f-11eb-baa1-a0cec8da9a51/hauls/37a5c0f2-8af3-4c8c-a2a7-c27a8c640d82/trails?column=coordinates</t>
  </si>
  <si>
    <t>https://us-qa-api.sitelink.topcon.com:443/sparkreports/v1/sites/65f442f850fb845c6038232d2c081b1c/jobs/2600630a-ff0f-11eb-baa1-a0cec8da9a51/hauls/37a5c0f2-8af3-4c8c-a2a7-c27a8c640d82/trails?column=coordinates</t>
  </si>
  <si>
    <t>f438759c-5260-4e6a-8fc8-0f012834ccb4</t>
  </si>
  <si>
    <t>urn:X-topcon:machine:ac:truck:oem:nonesuch:model::sn::id:M01-029</t>
  </si>
  <si>
    <t>R01-machine-029</t>
  </si>
  <si>
    <t>Operator R01-O029</t>
  </si>
  <si>
    <t>Operator-R01029</t>
  </si>
  <si>
    <t>/sparkreports/v1/sites/65f442f850fb845c6038232d2c081b1c/jobs/2600630a-ff0f-11eb-baa1-a0cec8da9a51/hauls/f438759c-5260-4e6a-8fc8-0f012834ccb4/trails?column=coordinates</t>
  </si>
  <si>
    <t>https://us-qa-api.sitelink.topcon.com:443/sparkreports/v1/sites/65f442f850fb845c6038232d2c081b1c/jobs/2600630a-ff0f-11eb-baa1-a0cec8da9a51/hauls/f438759c-5260-4e6a-8fc8-0f012834ccb4/trails?column=coordinates</t>
  </si>
  <si>
    <t>9ca6c634-281d-4928-8c1a-1dc5cada8efd</t>
  </si>
  <si>
    <t>urn:X-topcon:machine:ac:truck:oem:nonesuch:model::sn::id:M01-011</t>
  </si>
  <si>
    <t>R01-machine-011</t>
  </si>
  <si>
    <t>Operator R01-O011</t>
  </si>
  <si>
    <t>Operator-R01011</t>
  </si>
  <si>
    <t>/sparkreports/v1/sites/65f442f850fb845c6038232d2c081b1c/jobs/2600630a-ff0f-11eb-baa1-a0cec8da9a51/hauls/9ca6c634-281d-4928-8c1a-1dc5cada8efd/trails?column=coordinates</t>
  </si>
  <si>
    <t>https://us-qa-api.sitelink.topcon.com:443/sparkreports/v1/sites/65f442f850fb845c6038232d2c081b1c/jobs/2600630a-ff0f-11eb-baa1-a0cec8da9a51/hauls/9ca6c634-281d-4928-8c1a-1dc5cada8efd/trails?column=coordinates</t>
  </si>
  <si>
    <t>1e906476-0e0c-49e0-aa51-841aa3fcd7ab</t>
  </si>
  <si>
    <t>urn:X-topcon:machine:ac:truck:oem:nonesuch:model::sn::id:M01-044</t>
  </si>
  <si>
    <t>R01-machine-044</t>
  </si>
  <si>
    <t>Operator R01-O044</t>
  </si>
  <si>
    <t>Operator-R01044</t>
  </si>
  <si>
    <t>/sparkreports/v1/sites/65f442f850fb845c6038232d2c081b1c/jobs/2600630a-ff0f-11eb-baa1-a0cec8da9a51/hauls/1e906476-0e0c-49e0-aa51-841aa3fcd7ab/trails?column=coordinates</t>
  </si>
  <si>
    <t>https://us-qa-api.sitelink.topcon.com:443/sparkreports/v1/sites/65f442f850fb845c6038232d2c081b1c/jobs/2600630a-ff0f-11eb-baa1-a0cec8da9a51/hauls/1e906476-0e0c-49e0-aa51-841aa3fcd7ab/trails?column=coordinates</t>
  </si>
  <si>
    <t>ce569c22-ff82-414a-90f9-88fe61e5b8db</t>
  </si>
  <si>
    <t>urn:X-topcon:machine:ac:truck:oem:nonesuch:model::sn::id:M02-035</t>
  </si>
  <si>
    <t>R02-machine-035</t>
  </si>
  <si>
    <t>Operator R02-O035</t>
  </si>
  <si>
    <t>Operator-R02035</t>
  </si>
  <si>
    <t>/sparkreports/v1/sites/65f442f850fb845c6038232d2c081b1c/jobs/2600630a-ff0f-11eb-baa1-a0cec8da9a51/hauls/ce569c22-ff82-414a-90f9-88fe61e5b8db/trails?column=coordinates</t>
  </si>
  <si>
    <t>https://us-qa-api.sitelink.topcon.com:443/sparkreports/v1/sites/65f442f850fb845c6038232d2c081b1c/jobs/2600630a-ff0f-11eb-baa1-a0cec8da9a51/hauls/ce569c22-ff82-414a-90f9-88fe61e5b8db/trails?column=coordinates</t>
  </si>
  <si>
    <t>ccfd8193-d635-4ba2-babd-6f082f692236</t>
  </si>
  <si>
    <t>urn:X-topcon:machine:ac:truck:oem:nonesuch:model::sn::id:M01-006</t>
  </si>
  <si>
    <t>R01-machine-006</t>
  </si>
  <si>
    <t>Operator R01-O006</t>
  </si>
  <si>
    <t>Operator-R01006</t>
  </si>
  <si>
    <t>/sparkreports/v1/sites/65f442f850fb845c6038232d2c081b1c/jobs/2600630a-ff0f-11eb-baa1-a0cec8da9a51/hauls/ccfd8193-d635-4ba2-babd-6f082f692236/trails?column=coordinates</t>
  </si>
  <si>
    <t>https://us-qa-api.sitelink.topcon.com:443/sparkreports/v1/sites/65f442f850fb845c6038232d2c081b1c/jobs/2600630a-ff0f-11eb-baa1-a0cec8da9a51/hauls/ccfd8193-d635-4ba2-babd-6f082f692236/trails?column=coordinates</t>
  </si>
  <si>
    <t>5b3f6de3-a1e7-4a10-9671-4801724593e1</t>
  </si>
  <si>
    <t>urn:X-topcon:machine:ac:truck:oem:nonesuch:model::sn::id:M02-075</t>
  </si>
  <si>
    <t>R02-machine-075</t>
  </si>
  <si>
    <t>Operator R02-O075</t>
  </si>
  <si>
    <t>Operator-R02075</t>
  </si>
  <si>
    <t>/sparkreports/v1/sites/65f442f850fb845c6038232d2c081b1c/jobs/2600630a-ff0f-11eb-baa1-a0cec8da9a51/hauls/5b3f6de3-a1e7-4a10-9671-4801724593e1/trails?column=coordinates</t>
  </si>
  <si>
    <t>https://us-qa-api.sitelink.topcon.com:443/sparkreports/v1/sites/65f442f850fb845c6038232d2c081b1c/jobs/2600630a-ff0f-11eb-baa1-a0cec8da9a51/hauls/5b3f6de3-a1e7-4a10-9671-4801724593e1/trails?column=coordinates</t>
  </si>
  <si>
    <t>19155dfa-f087-4e63-9c20-df9bf5f06767</t>
  </si>
  <si>
    <t>urn:X-topcon:machine:ac:truck:oem:nonesuch:model::sn::id:M02-004</t>
  </si>
  <si>
    <t>R02-machine-004</t>
  </si>
  <si>
    <t>Operator R02-O004</t>
  </si>
  <si>
    <t>Operator-R02004</t>
  </si>
  <si>
    <t>/sparkreports/v1/sites/65f442f850fb845c6038232d2c081b1c/jobs/2600630a-ff0f-11eb-baa1-a0cec8da9a51/hauls/19155dfa-f087-4e63-9c20-df9bf5f06767/trails?column=coordinates</t>
  </si>
  <si>
    <t>https://us-qa-api.sitelink.topcon.com:443/sparkreports/v1/sites/65f442f850fb845c6038232d2c081b1c/jobs/2600630a-ff0f-11eb-baa1-a0cec8da9a51/hauls/19155dfa-f087-4e63-9c20-df9bf5f06767/trails?column=coordinates</t>
  </si>
  <si>
    <t>Running Distance</t>
  </si>
  <si>
    <t>Max Elevation</t>
  </si>
  <si>
    <t>Min Elevation</t>
  </si>
  <si>
    <t>Elevation Range</t>
  </si>
  <si>
    <t>Ascent</t>
  </si>
  <si>
    <t>Descent</t>
  </si>
  <si>
    <t>gradient</t>
  </si>
  <si>
    <t>delta altitude</t>
  </si>
  <si>
    <t>Altitude</t>
  </si>
  <si>
    <t>Positive Gradients</t>
  </si>
  <si>
    <t>Negative Gradients</t>
  </si>
  <si>
    <t>Steepest Positive Gradient</t>
  </si>
  <si>
    <t>Steepest Negative Gradient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</si>
</sst>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79998168889431442"/>
        <bgColor theme="7" tint="0.79998168889431442"/>
      </patternFill>
    </fill>
  </fills>
  <borders count="6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4" fontId="0" fillId="0" borderId="0" xfId="0" applyNumberFormat="1"/>
    <xf numFmtId="0" fontId="0" fillId="0" borderId="0" xfId="0"/>
    <xf numFmtId="3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/>
    <xf numFmtId="9" fontId="0" fillId="0" borderId="0" xfId="0" applyNumberFormat="1"/>
    <xf numFmtId="0" fontId="2" fillId="2" borderId="0" xfId="0" applyFont="1" applyFill="1"/>
    <xf numFmtId="0" fontId="2" fillId="2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3" borderId="4" xfId="0" applyFill="1" applyBorder="1"/>
    <xf numFmtId="0" fontId="0" fillId="3" borderId="5" xfId="0" applyFill="1" applyBorder="1"/>
    <xf numFmtId="0" fontId="0" fillId="0" borderId="0" xfId="0" applyNumberFormat="1"/>
    <xf numFmtId="1" fontId="0" fillId="0" borderId="0" xfId="0" applyNumberFormat="1"/>
    <xf numFmtId="0" fontId="4" fillId="0" borderId="0" xfId="1"/>
    <xf numFmtId="0" fontId="5" fillId="0" borderId="0" xfId="0" applyFont="1"/>
  </cellXfs>
  <cellStyles count="2">
    <cellStyle name="Hyperlink" xfId="1" builtinId="8"/>
    <cellStyle name="Normal" xfId="0" builtinId="0"/>
  </cellStyles>
  <dxfs count="20"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 Material Hauled</a:t>
            </a:r>
            <a:r>
              <a:rPr lang="en-US" baseline="0"/>
              <a:t> vs Expected Material Hauled over Report Period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1"/>
          <c:tx>
            <c:strRef>
              <c:f>'Progress Calcs'!$C$28</c:f>
              <c:strCache>
                <c:ptCount val="1"/>
                <c:pt idx="0">
                  <c:v>Pointer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817-483C-B3B2-48382538D981}"/>
              </c:ext>
            </c:extLst>
          </c:dPt>
          <c:dPt>
            <c:idx val="1"/>
            <c:bubble3D val="0"/>
            <c:explosion val="5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817-483C-B3B2-48382538D98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817-483C-B3B2-48382538D981}"/>
              </c:ext>
            </c:extLst>
          </c:dPt>
          <c:val>
            <c:numRef>
              <c:f>'Progress Calcs'!$C$29:$C$31</c:f>
              <c:numCache>
                <c:formatCode>General</c:formatCode>
                <c:ptCount val="3"/>
                <c:pt idx="0">
                  <c:v>64</c:v>
                </c:pt>
                <c:pt idx="1">
                  <c:v>60</c:v>
                </c:pt>
                <c:pt idx="2">
                  <c:v>7876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17-483C-B3B2-48382538D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doughnutChart>
        <c:varyColors val="1"/>
        <c:ser>
          <c:idx val="0"/>
          <c:order val="0"/>
          <c:tx>
            <c:strRef>
              <c:f>'Progress Calcs'!$E$21</c:f>
              <c:strCache>
                <c:ptCount val="1"/>
                <c:pt idx="0">
                  <c:v>Expected Quantity over Report Period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817-483C-B3B2-48382538D9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3817-483C-B3B2-48382538D98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3817-483C-B3B2-48382538D9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817-483C-B3B2-48382538D98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3817-483C-B3B2-48382538D981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3817-483C-B3B2-48382538D981}"/>
              </c:ext>
            </c:extLst>
          </c:dPt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817-483C-B3B2-48382538D9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'Progress Calcs'!$D$22:$D$24</c:f>
              <c:strCache>
                <c:ptCount val="3"/>
                <c:pt idx="0">
                  <c:v>Expected</c:v>
                </c:pt>
                <c:pt idx="1">
                  <c:v>Remaining</c:v>
                </c:pt>
                <c:pt idx="2">
                  <c:v>Total</c:v>
                </c:pt>
              </c:strCache>
            </c:strRef>
          </c:cat>
          <c:val>
            <c:numRef>
              <c:f>'Progress Calcs'!$E$22:$E$24</c:f>
              <c:numCache>
                <c:formatCode>General</c:formatCode>
                <c:ptCount val="3"/>
                <c:pt idx="0">
                  <c:v>2000</c:v>
                </c:pt>
                <c:pt idx="1">
                  <c:v>2000</c:v>
                </c:pt>
                <c:pt idx="2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817-483C-B3B2-48382538D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Load Phase Elapsed Normal Distribution vs Decimal Hours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'Operations Calcs'!$V$1</c:f>
              <c:strCache>
                <c:ptCount val="1"/>
                <c:pt idx="0">
                  <c:v>Normal Distribution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'Operations Calcs'!$U$2:$U$188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</c:numCache>
            </c:numRef>
          </c:xVal>
          <c:yVal>
            <c:numRef>
              <c:f>'Operations Calcs'!$V$2:$V$188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A6-40FA-948A-80A6BA98C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0183840"/>
        <c:axId val="1230185504"/>
      </c:scatterChart>
      <c:valAx>
        <c:axId val="123018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185504"/>
        <c:crosses val="autoZero"/>
        <c:crossBetween val="midCat"/>
      </c:valAx>
      <c:valAx>
        <c:axId val="123018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183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Loaded Distance by</a:t>
            </a:r>
            <a:r>
              <a:rPr lang="en-US" baseline="0"/>
              <a:t> Operator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'Operations Calcs'!$H$14:$H$19</c:f>
              <c:strCache>
                <c:ptCount val="6"/>
                <c:pt idx="0">
                  <c:v>c mcdonald</c:v>
                </c:pt>
                <c:pt idx="1">
                  <c:v>John ross whaitn</c:v>
                </c:pt>
                <c:pt idx="2">
                  <c:v>Martin Kennedy</c:v>
                </c:pt>
                <c:pt idx="3">
                  <c:v>C Sleith</c:v>
                </c:pt>
                <c:pt idx="4">
                  <c:v>tommy orrick</c:v>
                </c:pt>
                <c:pt idx="5">
                  <c:v>gary lever</c:v>
                </c:pt>
              </c:strCache>
            </c:strRef>
          </c:cat>
          <c:val>
            <c:numRef>
              <c:f>'Operations Calcs'!$I$14:$I$19</c:f>
              <c:numCache>
                <c:formatCode>#,##0</c:formatCode>
                <c:ptCount val="6"/>
                <c:pt idx="0">
                  <c:v>784</c:v>
                </c:pt>
                <c:pt idx="1">
                  <c:v>845</c:v>
                </c:pt>
                <c:pt idx="2">
                  <c:v>999</c:v>
                </c:pt>
                <c:pt idx="3">
                  <c:v>1042</c:v>
                </c:pt>
                <c:pt idx="4">
                  <c:v>1064</c:v>
                </c:pt>
                <c:pt idx="5">
                  <c:v>1069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2-4C58-B06E-F3B0CCB2B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8296432"/>
        <c:axId val="1228296848"/>
      </c:barChart>
      <c:catAx>
        <c:axId val="122829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296848"/>
        <c:crosses val="autoZero"/>
        <c:auto val="1"/>
        <c:lblAlgn val="ctr"/>
        <c:lblOffset val="100"/>
        <c:noMultiLvlLbl val="0"/>
      </c:catAx>
      <c:valAx>
        <c:axId val="122829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29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'Elevations Calcs'!$H$1</c:f>
              <c:strCache>
                <c:ptCount val="1"/>
                <c:pt idx="0">
                  <c:v>Altitude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'Elevations Calcs'!$G$2:$G$6963</c:f>
              <c:numCache>
                <c:formatCode>General</c:formatCode>
                <c:ptCount val="6962"/>
                <c:pt idx="0">
                  <c:v>8.2264690714642867</c:v>
                </c:pt>
                <c:pt idx="1">
                  <c:v>26.206443227912995</c:v>
                </c:pt>
                <c:pt idx="2">
                  <c:v>45.655088157541805</c:v>
                </c:pt>
                <c:pt idx="3">
                  <c:v>63.635083414186425</c:v>
                </c:pt>
                <c:pt idx="4">
                  <c:v>81.615073347678603</c:v>
                </c:pt>
                <c:pt idx="5">
                  <c:v>99.595057957997611</c:v>
                </c:pt>
                <c:pt idx="6">
                  <c:v>117.57503724748075</c:v>
                </c:pt>
                <c:pt idx="7">
                  <c:v>135.55501121246314</c:v>
                </c:pt>
                <c:pt idx="8">
                  <c:v>153.53497985721191</c:v>
                </c:pt>
                <c:pt idx="9">
                  <c:v>178.27552943573983</c:v>
                </c:pt>
                <c:pt idx="10">
                  <c:v>213.85983431546805</c:v>
                </c:pt>
                <c:pt idx="11">
                  <c:v>249.81977678646854</c:v>
                </c:pt>
                <c:pt idx="12">
                  <c:v>285.77971925244708</c:v>
                </c:pt>
                <c:pt idx="13">
                  <c:v>321.73966171341806</c:v>
                </c:pt>
                <c:pt idx="14">
                  <c:v>382.27637794132465</c:v>
                </c:pt>
                <c:pt idx="15">
                  <c:v>454.19620219525439</c:v>
                </c:pt>
                <c:pt idx="16">
                  <c:v>526.11602874345397</c:v>
                </c:pt>
                <c:pt idx="17">
                  <c:v>598.03585758817189</c:v>
                </c:pt>
                <c:pt idx="18">
                  <c:v>669.95568873053185</c:v>
                </c:pt>
                <c:pt idx="19">
                  <c:v>741.87552216828362</c:v>
                </c:pt>
                <c:pt idx="20">
                  <c:v>813.79535790478963</c:v>
                </c:pt>
                <c:pt idx="21">
                  <c:v>885.71519594006486</c:v>
                </c:pt>
                <c:pt idx="22">
                  <c:v>957.63503627410307</c:v>
                </c:pt>
                <c:pt idx="23">
                  <c:v>1029.5548789057734</c:v>
                </c:pt>
                <c:pt idx="24">
                  <c:v>1101.4747238362047</c:v>
                </c:pt>
                <c:pt idx="25">
                  <c:v>1173.3945710687701</c:v>
                </c:pt>
                <c:pt idx="26">
                  <c:v>1245.3144205989649</c:v>
                </c:pt>
                <c:pt idx="27">
                  <c:v>1293.5799852634771</c:v>
                </c:pt>
                <c:pt idx="28">
                  <c:v>1365.4998392616926</c:v>
                </c:pt>
                <c:pt idx="29">
                  <c:v>1437.4196929388372</c:v>
                </c:pt>
                <c:pt idx="30">
                  <c:v>1509.3395462941633</c:v>
                </c:pt>
                <c:pt idx="31">
                  <c:v>1581.2593993269238</c:v>
                </c:pt>
                <c:pt idx="32">
                  <c:v>1653.1792520377855</c:v>
                </c:pt>
                <c:pt idx="33">
                  <c:v>1725.0991044275238</c:v>
                </c:pt>
                <c:pt idx="34">
                  <c:v>1797.0189564932707</c:v>
                </c:pt>
                <c:pt idx="35">
                  <c:v>1868.9388082385931</c:v>
                </c:pt>
                <c:pt idx="36">
                  <c:v>1940.8586596620369</c:v>
                </c:pt>
                <c:pt idx="37">
                  <c:v>2012.7785107628911</c:v>
                </c:pt>
                <c:pt idx="38">
                  <c:v>2061.0338367497916</c:v>
                </c:pt>
                <c:pt idx="39">
                  <c:v>2132.9536966415835</c:v>
                </c:pt>
                <c:pt idx="40">
                  <c:v>2204.8735547336787</c:v>
                </c:pt>
                <c:pt idx="41">
                  <c:v>2276.7934110305828</c:v>
                </c:pt>
                <c:pt idx="42">
                  <c:v>2348.7132655289215</c:v>
                </c:pt>
                <c:pt idx="43">
                  <c:v>2431.9976286439141</c:v>
                </c:pt>
                <c:pt idx="44">
                  <c:v>2503.9175378911841</c:v>
                </c:pt>
                <c:pt idx="45">
                  <c:v>2575.8374406672824</c:v>
                </c:pt>
                <c:pt idx="46">
                  <c:v>2647.7573369711217</c:v>
                </c:pt>
                <c:pt idx="47">
                  <c:v>2719.677226804899</c:v>
                </c:pt>
                <c:pt idx="48">
                  <c:v>2791.5971101652631</c:v>
                </c:pt>
                <c:pt idx="49">
                  <c:v>2863.5169870578284</c:v>
                </c:pt>
                <c:pt idx="50">
                  <c:v>2935.4368574791847</c:v>
                </c:pt>
                <c:pt idx="51">
                  <c:v>3007.3567214293689</c:v>
                </c:pt>
                <c:pt idx="52">
                  <c:v>3079.2765789128121</c:v>
                </c:pt>
                <c:pt idx="53">
                  <c:v>3153.6887358720842</c:v>
                </c:pt>
                <c:pt idx="54">
                  <c:v>3196.9877786996149</c:v>
                </c:pt>
                <c:pt idx="55">
                  <c:v>3232.9477248630692</c:v>
                </c:pt>
                <c:pt idx="56">
                  <c:v>3266.9572567289943</c:v>
                </c:pt>
                <c:pt idx="57">
                  <c:v>3302.9171865553599</c:v>
                </c:pt>
                <c:pt idx="58">
                  <c:v>3341.8537394378104</c:v>
                </c:pt>
                <c:pt idx="59">
                  <c:v>3380.5487113961231</c:v>
                </c:pt>
                <c:pt idx="60">
                  <c:v>3416.5086450782187</c:v>
                </c:pt>
                <c:pt idx="61">
                  <c:v>3450.7844587108279</c:v>
                </c:pt>
                <c:pt idx="62">
                  <c:v>3484.953825437507</c:v>
                </c:pt>
                <c:pt idx="63">
                  <c:v>3519.9215858324123</c:v>
                </c:pt>
                <c:pt idx="64">
                  <c:v>3555.8815141230029</c:v>
                </c:pt>
                <c:pt idx="65">
                  <c:v>3588.9008570579931</c:v>
                </c:pt>
                <c:pt idx="66">
                  <c:v>3622.8377326967238</c:v>
                </c:pt>
                <c:pt idx="67">
                  <c:v>3658.7976542784704</c:v>
                </c:pt>
                <c:pt idx="68">
                  <c:v>3689.2581843737757</c:v>
                </c:pt>
                <c:pt idx="69">
                  <c:v>3730.6073834938206</c:v>
                </c:pt>
                <c:pt idx="70">
                  <c:v>3770.5594691070642</c:v>
                </c:pt>
                <c:pt idx="71">
                  <c:v>3817.5600348525486</c:v>
                </c:pt>
                <c:pt idx="72">
                  <c:v>3889.4802267439809</c:v>
                </c:pt>
                <c:pt idx="73">
                  <c:v>3961.4003245488711</c:v>
                </c:pt>
                <c:pt idx="74">
                  <c:v>4033.3203282692848</c:v>
                </c:pt>
                <c:pt idx="75">
                  <c:v>4105.2402378997249</c:v>
                </c:pt>
                <c:pt idx="76">
                  <c:v>4174.1320390361179</c:v>
                </c:pt>
                <c:pt idx="77">
                  <c:v>4246.0525117838924</c:v>
                </c:pt>
                <c:pt idx="78">
                  <c:v>4317.9728875462579</c:v>
                </c:pt>
                <c:pt idx="79">
                  <c:v>4389.8931663253143</c:v>
                </c:pt>
                <c:pt idx="80">
                  <c:v>4461.8133481181139</c:v>
                </c:pt>
                <c:pt idx="81">
                  <c:v>4533.7334329260402</c:v>
                </c:pt>
                <c:pt idx="82">
                  <c:v>4605.6534207463174</c:v>
                </c:pt>
                <c:pt idx="83">
                  <c:v>4677.5733115770872</c:v>
                </c:pt>
                <c:pt idx="84">
                  <c:v>4710.9411106444722</c:v>
                </c:pt>
                <c:pt idx="85">
                  <c:v>4746.9010558742166</c:v>
                </c:pt>
                <c:pt idx="86">
                  <c:v>4782.4362162972438</c:v>
                </c:pt>
                <c:pt idx="87">
                  <c:v>4820.8729683075617</c:v>
                </c:pt>
                <c:pt idx="88">
                  <c:v>4862.0239437973541</c:v>
                </c:pt>
                <c:pt idx="89">
                  <c:v>4897.9838610429251</c:v>
                </c:pt>
                <c:pt idx="90">
                  <c:v>4931.2786965874457</c:v>
                </c:pt>
                <c:pt idx="91">
                  <c:v>4968.0618255073678</c:v>
                </c:pt>
                <c:pt idx="92">
                  <c:v>5003.3468311281067</c:v>
                </c:pt>
                <c:pt idx="93">
                  <c:v>5039.3067680793811</c:v>
                </c:pt>
                <c:pt idx="94">
                  <c:v>5076.040482091983</c:v>
                </c:pt>
                <c:pt idx="95">
                  <c:v>5112.0004102579296</c:v>
                </c:pt>
                <c:pt idx="96">
                  <c:v>5127.5102512577996</c:v>
                </c:pt>
                <c:pt idx="97">
                  <c:v>5145.4902177207068</c:v>
                </c:pt>
                <c:pt idx="98">
                  <c:v>5164.3152592642891</c:v>
                </c:pt>
                <c:pt idx="99">
                  <c:v>5182.295225291623</c:v>
                </c:pt>
                <c:pt idx="100">
                  <c:v>5198.1793921952431</c:v>
                </c:pt>
                <c:pt idx="101">
                  <c:v>5216.159325822754</c:v>
                </c:pt>
                <c:pt idx="102">
                  <c:v>5234.1392641403772</c:v>
                </c:pt>
                <c:pt idx="103">
                  <c:v>5252.1192071480882</c:v>
                </c:pt>
                <c:pt idx="104">
                  <c:v>5270.099154847062</c:v>
                </c:pt>
                <c:pt idx="105">
                  <c:v>5288.0791072396732</c:v>
                </c:pt>
                <c:pt idx="106">
                  <c:v>5306.0590643198993</c:v>
                </c:pt>
                <c:pt idx="107">
                  <c:v>5324.0390260907125</c:v>
                </c:pt>
                <c:pt idx="108">
                  <c:v>5344.5175996731941</c:v>
                </c:pt>
                <c:pt idx="109">
                  <c:v>5364.8535682626862</c:v>
                </c:pt>
                <c:pt idx="110">
                  <c:v>5382.8486201879778</c:v>
                </c:pt>
                <c:pt idx="111">
                  <c:v>5400.8285913680247</c:v>
                </c:pt>
                <c:pt idx="112">
                  <c:v>5415.9810502872351</c:v>
                </c:pt>
                <c:pt idx="113">
                  <c:v>5431.8559967955289</c:v>
                </c:pt>
                <c:pt idx="114">
                  <c:v>5448.670133149948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</c:numCache>
            </c:numRef>
          </c:xVal>
          <c:yVal>
            <c:numRef>
              <c:f>'Elevations Calcs'!$H$2:$H$6963</c:f>
              <c:numCache>
                <c:formatCode>General</c:formatCode>
                <c:ptCount val="6962"/>
                <c:pt idx="0">
                  <c:v>242.90379180037081</c:v>
                </c:pt>
                <c:pt idx="1">
                  <c:v>243.15516726507909</c:v>
                </c:pt>
                <c:pt idx="2">
                  <c:v>243.36550491893496</c:v>
                </c:pt>
                <c:pt idx="3">
                  <c:v>243.41201968491879</c:v>
                </c:pt>
                <c:pt idx="4">
                  <c:v>243.45853446467149</c:v>
                </c:pt>
                <c:pt idx="5">
                  <c:v>243.50504925819297</c:v>
                </c:pt>
                <c:pt idx="6">
                  <c:v>243.55156406548323</c:v>
                </c:pt>
                <c:pt idx="7">
                  <c:v>243.59807888654291</c:v>
                </c:pt>
                <c:pt idx="8">
                  <c:v>243.64459372137017</c:v>
                </c:pt>
                <c:pt idx="9">
                  <c:v>243.63820202562999</c:v>
                </c:pt>
                <c:pt idx="10">
                  <c:v>244.08551665368799</c:v>
                </c:pt>
                <c:pt idx="11">
                  <c:v>244.82879163428456</c:v>
                </c:pt>
                <c:pt idx="12">
                  <c:v>245.57206661496031</c:v>
                </c:pt>
                <c:pt idx="13">
                  <c:v>246.31534159567437</c:v>
                </c:pt>
                <c:pt idx="14">
                  <c:v>246.02089719898183</c:v>
                </c:pt>
                <c:pt idx="15">
                  <c:v>245.78224300383329</c:v>
                </c:pt>
                <c:pt idx="16">
                  <c:v>245.54358881633755</c:v>
                </c:pt>
                <c:pt idx="17">
                  <c:v>245.30493463649353</c:v>
                </c:pt>
                <c:pt idx="18">
                  <c:v>245.06628046429995</c:v>
                </c:pt>
                <c:pt idx="19">
                  <c:v>244.827626299755</c:v>
                </c:pt>
                <c:pt idx="20">
                  <c:v>244.58897214285719</c:v>
                </c:pt>
                <c:pt idx="21">
                  <c:v>244.35031799360547</c:v>
                </c:pt>
                <c:pt idx="22">
                  <c:v>244.11166385199795</c:v>
                </c:pt>
                <c:pt idx="23">
                  <c:v>243.87300971803339</c:v>
                </c:pt>
                <c:pt idx="24">
                  <c:v>243.63435559171063</c:v>
                </c:pt>
                <c:pt idx="25">
                  <c:v>243.3957014730274</c:v>
                </c:pt>
                <c:pt idx="26">
                  <c:v>243.15704736198504</c:v>
                </c:pt>
                <c:pt idx="27">
                  <c:v>242.99737645401069</c:v>
                </c:pt>
                <c:pt idx="28">
                  <c:v>242.9295058158402</c:v>
                </c:pt>
                <c:pt idx="29">
                  <c:v>242.86163517736591</c:v>
                </c:pt>
                <c:pt idx="30">
                  <c:v>242.79376453858788</c:v>
                </c:pt>
                <c:pt idx="31">
                  <c:v>242.72589389950599</c:v>
                </c:pt>
                <c:pt idx="32">
                  <c:v>242.6580232601203</c:v>
                </c:pt>
                <c:pt idx="33">
                  <c:v>242.59015262043081</c:v>
                </c:pt>
                <c:pt idx="34">
                  <c:v>242.52228198043761</c:v>
                </c:pt>
                <c:pt idx="35">
                  <c:v>242.45441134014061</c:v>
                </c:pt>
                <c:pt idx="36">
                  <c:v>242.38654069953975</c:v>
                </c:pt>
                <c:pt idx="37">
                  <c:v>242.31867005863532</c:v>
                </c:pt>
                <c:pt idx="38">
                  <c:v>242.38986053924299</c:v>
                </c:pt>
                <c:pt idx="39">
                  <c:v>242.7194421624518</c:v>
                </c:pt>
                <c:pt idx="40">
                  <c:v>243.04902379388091</c:v>
                </c:pt>
                <c:pt idx="41">
                  <c:v>243.37860543353304</c:v>
                </c:pt>
                <c:pt idx="42">
                  <c:v>243.70818708140919</c:v>
                </c:pt>
                <c:pt idx="43">
                  <c:v>243.85646735361777</c:v>
                </c:pt>
                <c:pt idx="44">
                  <c:v>243.48586939226453</c:v>
                </c:pt>
                <c:pt idx="45">
                  <c:v>243.11527139759932</c:v>
                </c:pt>
                <c:pt idx="46">
                  <c:v>242.7446733696201</c:v>
                </c:pt>
                <c:pt idx="47">
                  <c:v>242.37407530832459</c:v>
                </c:pt>
                <c:pt idx="48">
                  <c:v>242.0034772137104</c:v>
                </c:pt>
                <c:pt idx="49">
                  <c:v>241.63287908577431</c:v>
                </c:pt>
                <c:pt idx="50">
                  <c:v>241.26228092451427</c:v>
                </c:pt>
                <c:pt idx="51">
                  <c:v>240.89168272993192</c:v>
                </c:pt>
                <c:pt idx="52">
                  <c:v>240.52108450202311</c:v>
                </c:pt>
                <c:pt idx="53">
                  <c:v>238.65836462102692</c:v>
                </c:pt>
                <c:pt idx="54">
                  <c:v>237.71979407282035</c:v>
                </c:pt>
                <c:pt idx="55">
                  <c:v>237.4044849775307</c:v>
                </c:pt>
                <c:pt idx="56">
                  <c:v>237.40087324333535</c:v>
                </c:pt>
                <c:pt idx="57">
                  <c:v>237.5371831370378</c:v>
                </c:pt>
                <c:pt idx="58">
                  <c:v>237.36251862933048</c:v>
                </c:pt>
                <c:pt idx="59">
                  <c:v>237.11079746978515</c:v>
                </c:pt>
                <c:pt idx="60">
                  <c:v>236.78318977164653</c:v>
                </c:pt>
                <c:pt idx="61">
                  <c:v>236.43405956779449</c:v>
                </c:pt>
                <c:pt idx="62">
                  <c:v>236.49716761858161</c:v>
                </c:pt>
                <c:pt idx="63">
                  <c:v>236.51139285851127</c:v>
                </c:pt>
                <c:pt idx="64">
                  <c:v>236.40848213614407</c:v>
                </c:pt>
                <c:pt idx="65">
                  <c:v>236.19274570616696</c:v>
                </c:pt>
                <c:pt idx="66">
                  <c:v>236.0935228240966</c:v>
                </c:pt>
                <c:pt idx="67">
                  <c:v>236.31409117525749</c:v>
                </c:pt>
                <c:pt idx="68">
                  <c:v>236.6798860866368</c:v>
                </c:pt>
                <c:pt idx="69">
                  <c:v>236.49771708011647</c:v>
                </c:pt>
                <c:pt idx="70">
                  <c:v>235.9708907395426</c:v>
                </c:pt>
                <c:pt idx="71">
                  <c:v>235.76027286193633</c:v>
                </c:pt>
                <c:pt idx="72">
                  <c:v>235.85109152694884</c:v>
                </c:pt>
                <c:pt idx="73">
                  <c:v>235.94191031076804</c:v>
                </c:pt>
                <c:pt idx="74">
                  <c:v>236.03272921339564</c:v>
                </c:pt>
                <c:pt idx="75">
                  <c:v>236.12354823483264</c:v>
                </c:pt>
                <c:pt idx="76">
                  <c:v>236.19475419701831</c:v>
                </c:pt>
                <c:pt idx="77">
                  <c:v>236.26188556798195</c:v>
                </c:pt>
                <c:pt idx="78">
                  <c:v>236.32901702947009</c:v>
                </c:pt>
                <c:pt idx="79">
                  <c:v>236.39614858148411</c:v>
                </c:pt>
                <c:pt idx="80">
                  <c:v>236.46328022402523</c:v>
                </c:pt>
                <c:pt idx="81">
                  <c:v>236.53041195709477</c:v>
                </c:pt>
                <c:pt idx="82">
                  <c:v>236.59754378069425</c:v>
                </c:pt>
                <c:pt idx="83">
                  <c:v>236.66467569482535</c:v>
                </c:pt>
                <c:pt idx="84">
                  <c:v>236.24803622652823</c:v>
                </c:pt>
                <c:pt idx="85">
                  <c:v>236.54214504677324</c:v>
                </c:pt>
                <c:pt idx="86">
                  <c:v>236.72075609556572</c:v>
                </c:pt>
                <c:pt idx="87">
                  <c:v>236.73504742686521</c:v>
                </c:pt>
                <c:pt idx="88">
                  <c:v>236.79853663966017</c:v>
                </c:pt>
                <c:pt idx="89">
                  <c:v>237.24414635997903</c:v>
                </c:pt>
                <c:pt idx="90">
                  <c:v>237.12692536297411</c:v>
                </c:pt>
                <c:pt idx="91">
                  <c:v>236.71619049646324</c:v>
                </c:pt>
                <c:pt idx="92">
                  <c:v>236.27843229527952</c:v>
                </c:pt>
                <c:pt idx="93">
                  <c:v>235.79372914320243</c:v>
                </c:pt>
                <c:pt idx="94">
                  <c:v>235.35982358520243</c:v>
                </c:pt>
                <c:pt idx="95">
                  <c:v>235.05929434079275</c:v>
                </c:pt>
                <c:pt idx="96">
                  <c:v>235.0270560582812</c:v>
                </c:pt>
                <c:pt idx="97">
                  <c:v>234.74822425988037</c:v>
                </c:pt>
                <c:pt idx="98">
                  <c:v>234.46004916775067</c:v>
                </c:pt>
                <c:pt idx="99">
                  <c:v>234.19009843002971</c:v>
                </c:pt>
                <c:pt idx="100">
                  <c:v>234.08271327977303</c:v>
                </c:pt>
                <c:pt idx="101">
                  <c:v>233.93542659797217</c:v>
                </c:pt>
                <c:pt idx="102">
                  <c:v>233.78813995459777</c:v>
                </c:pt>
                <c:pt idx="103">
                  <c:v>233.64085334965264</c:v>
                </c:pt>
                <c:pt idx="104">
                  <c:v>233.49356678313359</c:v>
                </c:pt>
                <c:pt idx="105">
                  <c:v>233.34628025504136</c:v>
                </c:pt>
                <c:pt idx="106">
                  <c:v>233.1989937653741</c:v>
                </c:pt>
                <c:pt idx="107">
                  <c:v>233.05170731414239</c:v>
                </c:pt>
                <c:pt idx="108">
                  <c:v>233.57706735693807</c:v>
                </c:pt>
                <c:pt idx="109">
                  <c:v>234.25335120834609</c:v>
                </c:pt>
                <c:pt idx="110">
                  <c:v>234.78474386049115</c:v>
                </c:pt>
                <c:pt idx="111">
                  <c:v>235.1589754284152</c:v>
                </c:pt>
                <c:pt idx="112">
                  <c:v>234.97525304737715</c:v>
                </c:pt>
                <c:pt idx="113">
                  <c:v>234.19471677665217</c:v>
                </c:pt>
                <c:pt idx="114">
                  <c:v>232.04981030064999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CE-4798-917A-1B0E60B5F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3620959"/>
        <c:axId val="903618047"/>
      </c:scatterChart>
      <c:valAx>
        <c:axId val="90362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618047"/>
        <c:crosses val="autoZero"/>
        <c:crossBetween val="midCat"/>
      </c:valAx>
      <c:valAx>
        <c:axId val="903618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62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'Progress Calcs'!$C$14" fmlaRange="Config!$G$3:$G$5" noThreeD="1" sel="1" val="0"/>
</file>

<file path=xl/ctrlProps/ctrlProp2.xml><?xml version="1.0" encoding="utf-8"?>
<formControlPr xmlns="http://schemas.microsoft.com/office/spreadsheetml/2009/9/main" objectType="Drop" dropStyle="combo" dx="22" fmlaLink="$F$15" fmlaRange="'Report Data'!$BW:$BW" sel="80" val="75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1057275</xdr:colOff>
          <xdr:row>20</xdr:row>
          <xdr:rowOff>0</xdr:rowOff>
        </xdr:from>
        <xdr:to>
          <xdr:col>7</xdr:col>
          <xdr:colOff>1695450</xdr:colOff>
          <xdr:row>21</xdr:row>
          <xdr:rowOff>123825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1085850</xdr:colOff>
          <xdr:row>22</xdr:row>
          <xdr:rowOff>104775</xdr:rowOff>
        </xdr:from>
        <xdr:to>
          <xdr:col>7</xdr:col>
          <xdr:colOff>1695450</xdr:colOff>
          <xdr:row>24</xdr:row>
          <xdr:rowOff>38100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20</xdr:row>
          <xdr:rowOff>9525</xdr:rowOff>
        </xdr:from>
        <xdr:to>
          <xdr:col>8</xdr:col>
          <xdr:colOff>1704975</xdr:colOff>
          <xdr:row>21</xdr:row>
          <xdr:rowOff>171450</xdr:rowOff>
        </xdr:to>
        <xdr:sp macro="" textlink="">
          <xdr:nvSpPr>
            <xdr:cNvPr id="12293" name="CommandButton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179293</xdr:rowOff>
    </xdr:from>
    <xdr:to>
      <xdr:col>7</xdr:col>
      <xdr:colOff>759197</xdr:colOff>
      <xdr:row>38</xdr:row>
      <xdr:rowOff>45944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28575</xdr:rowOff>
        </xdr:from>
        <xdr:to>
          <xdr:col>6</xdr:col>
          <xdr:colOff>133350</xdr:colOff>
          <xdr:row>31</xdr:row>
          <xdr:rowOff>104775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930087</xdr:colOff>
      <xdr:row>26</xdr:row>
      <xdr:rowOff>56029</xdr:rowOff>
    </xdr:from>
    <xdr:ext cx="907677" cy="530658"/>
    <xdr:sp macro="" textlink="'Progress Calcs'!C22">
      <xdr:nvSpPr>
        <xdr:cNvPr id="18" name="TextBox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2969558" y="5009029"/>
          <a:ext cx="90767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A9CAE75A-923B-41C6-92C4-DD6DF06E737B}" type="TxLink">
            <a:rPr lang="en-US" sz="2800" b="0" i="0" u="none" strike="noStrike">
              <a:solidFill>
                <a:schemeClr val="accent2"/>
              </a:solidFill>
              <a:latin typeface="Calibri"/>
              <a:cs typeface="Calibri"/>
            </a:rPr>
            <a:pPr algn="ctr"/>
            <a:t>64</a:t>
          </a:fld>
          <a:endParaRPr lang="en-US" sz="2800">
            <a:solidFill>
              <a:schemeClr val="accent2"/>
            </a:solidFill>
          </a:endParaRPr>
        </a:p>
      </xdr:txBody>
    </xdr:sp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0.69311</cdr:x>
      <cdr:y>0.52474</cdr:y>
    </cdr:from>
    <cdr:to>
      <cdr:x>0.82953</cdr:x>
      <cdr:y>0.57561</cdr:y>
    </cdr:to>
    <cdr:sp macro="" textlink="'Progress Calcs'!$F$22">
      <cdr:nvSpPr>
        <cdr:cNvPr id="2" name="TextBox 17">
          <a:extLst xmlns:a="http://schemas.openxmlformats.org/drawingml/2006/main">
            <a:ext uri="{FF2B5EF4-FFF2-40B4-BE49-F238E27FC236}">
              <a16:creationId xmlns:a16="http://schemas.microsoft.com/office/drawing/2014/main" id="{40403A3A-0138-4605-B088-0134730F7903}"/>
            </a:ext>
          </a:extLst>
        </cdr:cNvPr>
        <cdr:cNvSpPr txBox="1"/>
      </cdr:nvSpPr>
      <cdr:spPr>
        <a:xfrm xmlns:a="http://schemas.openxmlformats.org/drawingml/2006/main">
          <a:off x="4611594" y="2729005"/>
          <a:ext cx="907677" cy="2645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47589CE-68D5-4C52-9837-C7E5C698DBE9}" type="TxLink">
            <a:rPr lang="en-US" sz="1100" b="0" i="0" u="none" strike="noStrike">
              <a:solidFill>
                <a:schemeClr val="accent2"/>
              </a:solidFill>
              <a:latin typeface="Calibri"/>
              <a:cs typeface="Calibri"/>
            </a:rPr>
            <a:pPr algn="ctr"/>
            <a:t>4000</a:t>
          </a:fld>
          <a:endParaRPr lang="en-US" sz="1600">
            <a:solidFill>
              <a:schemeClr val="accent2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582706</xdr:colOff>
      <xdr:row>16</xdr:row>
      <xdr:rowOff>134469</xdr:rowOff>
    </xdr:from>
    <xdr:to>
      <xdr:col>14</xdr:col>
      <xdr:colOff>801223</xdr:colOff>
      <xdr:row>34</xdr:row>
      <xdr:rowOff>99731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1086971</xdr:colOff>
      <xdr:row>20</xdr:row>
      <xdr:rowOff>123265</xdr:rowOff>
    </xdr:from>
    <xdr:to>
      <xdr:col>10</xdr:col>
      <xdr:colOff>561</xdr:colOff>
      <xdr:row>35</xdr:row>
      <xdr:rowOff>8965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16</xdr:row>
          <xdr:rowOff>9525</xdr:rowOff>
        </xdr:from>
        <xdr:to>
          <xdr:col>5</xdr:col>
          <xdr:colOff>514350</xdr:colOff>
          <xdr:row>17</xdr:row>
          <xdr:rowOff>85725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5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85725</xdr:colOff>
      <xdr:row>11</xdr:row>
      <xdr:rowOff>66675</xdr:rowOff>
    </xdr:from>
    <xdr:to>
      <xdr:col>16</xdr:col>
      <xdr:colOff>390525</xdr:colOff>
      <xdr:row>25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696FC87-0610-4C37-8066-B72A5F32CF33}" autoFormatId="16" applyNumberFormats="0" applyBorderFormats="0" applyFontFormats="1" applyPatternFormats="1" applyAlignmentFormats="0" applyWidthHeightFormats="0">
  <queryTableRefresh nextId="91">
    <queryTableFields count="90">
      <queryTableField id="1" name="Column1.bin" tableColumnId="91"/>
      <queryTableField id="2" name="Column1.closed_ms" tableColumnId="92"/>
      <queryTableField id="3" name="Column1.comments" tableColumnId="93"/>
      <queryTableField id="4" name="Column1.converted.axis" tableColumnId="94"/>
      <queryTableField id="5" name="Column1.converted.quantity" tableColumnId="95"/>
      <queryTableField id="6" name="Column1.converted.state" tableColumnId="96"/>
      <queryTableField id="7" name="Column1.converted.unit" tableColumnId="97"/>
      <queryTableField id="8" name="Column1.displacement" tableColumnId="98"/>
      <queryTableField id="9" name="Column1.distance.empty" tableColumnId="99"/>
      <queryTableField id="10" name="Column1.distance.loaded" tableColumnId="100"/>
      <queryTableField id="11" name="Column1.distance.total" tableColumnId="101"/>
      <queryTableField id="12" name="Column1.duration.total" tableColumnId="102"/>
      <queryTableField id="13" name="Column1.duration.empty" tableColumnId="103"/>
      <queryTableField id="14" name="Column1.duration.loaded" tableColumnId="104"/>
      <queryTableField id="15" name="Column1.end" tableColumnId="105"/>
      <queryTableField id="16" name="Column1.first_coordinate.alt" tableColumnId="106"/>
      <queryTableField id="17" name="Column1.first_coordinate.at" tableColumnId="107"/>
      <queryTableField id="18" name="Column1.first_coordinate.distance" tableColumnId="108"/>
      <queryTableField id="19" name="Column1.first_coordinate.easting" tableColumnId="109"/>
      <queryTableField id="20" name="Column1.first_coordinate.haul_uuid" tableColumnId="110"/>
      <queryTableField id="21" name="Column1.first_coordinate.height" tableColumnId="111"/>
      <queryTableField id="22" name="Column1.first_coordinate.lat" tableColumnId="112"/>
      <queryTableField id="23" name="Column1.first_coordinate.lng" tableColumnId="113"/>
      <queryTableField id="24" name="Column1.first_coordinate.machine_urn" tableColumnId="114"/>
      <queryTableField id="25" name="Column1.first_coordinate.northing" tableColumnId="115"/>
      <queryTableField id="26" name="Column1.first_ms" tableColumnId="116"/>
      <queryTableField id="27" name="Column1.last_coordinate.alt" tableColumnId="117"/>
      <queryTableField id="28" name="Column1.last_coordinate.at" tableColumnId="118"/>
      <queryTableField id="29" name="Column1.last_coordinate.distance" tableColumnId="119"/>
      <queryTableField id="30" name="Column1.last_coordinate.easting" tableColumnId="120"/>
      <queryTableField id="31" name="Column1.last_coordinate.haul_uuid" tableColumnId="121"/>
      <queryTableField id="32" name="Column1.last_coordinate.height" tableColumnId="122"/>
      <queryTableField id="33" name="Column1.last_coordinate.lat" tableColumnId="123"/>
      <queryTableField id="34" name="Column1.last_coordinate.lng" tableColumnId="124"/>
      <queryTableField id="35" name="Column1.last_coordinate.machine_urn" tableColumnId="125"/>
      <queryTableField id="36" name="Column1.last_coordinate.northing" tableColumnId="126"/>
      <queryTableField id="37" name="Column1.last_ms" tableColumnId="127"/>
      <queryTableField id="38" name="Column1.line" tableColumnId="128"/>
      <queryTableField id="39" name="Column1.load_coordinate.alt" tableColumnId="129"/>
      <queryTableField id="40" name="Column1.load_coordinate.at" tableColumnId="130"/>
      <queryTableField id="41" name="Column1.load_coordinate.distance" tableColumnId="131"/>
      <queryTableField id="42" name="Column1.load_coordinate.easting" tableColumnId="132"/>
      <queryTableField id="43" name="Column1.load_coordinate.haul_uuid" tableColumnId="133"/>
      <queryTableField id="44" name="Column1.load_coordinate.height" tableColumnId="134"/>
      <queryTableField id="45" name="Column1.load_coordinate.lat" tableColumnId="135"/>
      <queryTableField id="46" name="Column1.load_coordinate.lng" tableColumnId="136"/>
      <queryTableField id="47" name="Column1.load_coordinate.machine_urn" tableColumnId="137"/>
      <queryTableField id="48" name="Column1.load_coordinate.northing" tableColumnId="138"/>
      <queryTableField id="49" name="Column1.load_ms" tableColumnId="139"/>
      <queryTableField id="50" name="Column1.load_region" tableColumnId="140"/>
      <queryTableField id="51" name="Column1.load_region_uuid" tableColumnId="141"/>
      <queryTableField id="52" name="Column1.machine" tableColumnId="142"/>
      <queryTableField id="53" name="Column1.machine_uuid" tableColumnId="143"/>
      <queryTableField id="54" name="Material" tableColumnId="144"/>
      <queryTableField id="55" name="Column1.material_axis" tableColumnId="145"/>
      <queryTableField id="56" name="Column1.material_state" tableColumnId="146"/>
      <queryTableField id="57" name="Column1.material_unit" tableColumnId="147"/>
      <queryTableField id="58" name="Column1.material_uuid" tableColumnId="148"/>
      <queryTableField id="59" name="Column1.operator" tableColumnId="149"/>
      <queryTableField id="60" name="Column1.operator_uuid" tableColumnId="150"/>
      <queryTableField id="61" name="Column1.ordinates" tableColumnId="151"/>
      <queryTableField id="62" name="Column1.quantity" tableColumnId="152"/>
      <queryTableField id="63" name="Column1.raw.axis" tableColumnId="153"/>
      <queryTableField id="64" name="Column1.raw.quantity" tableColumnId="154"/>
      <queryTableField id="65" name="Column1.raw.state" tableColumnId="155"/>
      <queryTableField id="66" name="Column1.raw.unit" tableColumnId="156"/>
      <queryTableField id="67" name="Column1.start" tableColumnId="157"/>
      <queryTableField id="68" name="Column1.status" tableColumnId="158"/>
      <queryTableField id="69" name="Column1.task" tableColumnId="159"/>
      <queryTableField id="70" name="Column1.task_uuid" tableColumnId="160"/>
      <queryTableField id="71" name="Column1.time" tableColumnId="161"/>
      <queryTableField id="72" name="Column1.trails_uri" tableColumnId="162"/>
      <queryTableField id="73" name="Column1.trails_url" tableColumnId="163"/>
      <queryTableField id="74" name="Column1.type" tableColumnId="164"/>
      <queryTableField id="75" name="Column1.uuid" tableColumnId="165"/>
      <queryTableField id="76" name="Column1.wat" tableColumnId="166"/>
      <queryTableField id="77" name="Column1.counter" tableColumnId="167"/>
      <queryTableField id="78" name="Column1.dump_coordinate.alt" tableColumnId="168"/>
      <queryTableField id="79" name="Column1.dump_coordinate.at" tableColumnId="169"/>
      <queryTableField id="80" name="Column1.dump_coordinate.distance" tableColumnId="170"/>
      <queryTableField id="81" name="Column1.dump_coordinate.easting" tableColumnId="171"/>
      <queryTableField id="82" name="Column1.dump_coordinate.haul_uuid" tableColumnId="172"/>
      <queryTableField id="83" name="Column1.dump_coordinate.height" tableColumnId="173"/>
      <queryTableField id="84" name="Column1.dump_coordinate.lat" tableColumnId="174"/>
      <queryTableField id="85" name="Column1.dump_coordinate.lng" tableColumnId="175"/>
      <queryTableField id="86" name="Column1.dump_coordinate.machine_urn" tableColumnId="176"/>
      <queryTableField id="87" name="Column1.dump_coordinate.northing" tableColumnId="177"/>
      <queryTableField id="88" name="Column1.dump_ms" tableColumnId="178"/>
      <queryTableField id="89" name="Column1.dump_region" tableColumnId="179"/>
      <queryTableField id="90" name="Column1.dump_region_uuid" tableColumnId="18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5253095F-EE87-407D-B0AB-EB054DEE2D7D}" autoFormatId="16" applyNumberFormats="0" applyBorderFormats="0" applyFontFormats="1" applyPatternFormats="1" applyAlignmentFormats="0" applyWidthHeightFormats="0">
  <queryTableRefresh nextId="12">
    <queryTableFields count="11">
      <queryTableField id="1" name="Column1.alt" tableColumnId="12"/>
      <queryTableField id="2" name="Column1.at" tableColumnId="13"/>
      <queryTableField id="3" name="Column1.distance" tableColumnId="14"/>
      <queryTableField id="4" name="Column1.easting" tableColumnId="15"/>
      <queryTableField id="5" name="Column1.haul_uuid" tableColumnId="16"/>
      <queryTableField id="6" name="Column1.height" tableColumnId="17"/>
      <queryTableField id="7" name="Column1.lat" tableColumnId="18"/>
      <queryTableField id="8" name="Column1.lng" tableColumnId="19"/>
      <queryTableField id="9" name="Column1.machine_urn" tableColumnId="20"/>
      <queryTableField id="10" name="Column1.northing" tableColumnId="21"/>
      <queryTableField id="11" name="Column1.state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BA9BFF3-5B25-46B9-A180-7EFC1EBF9B1C}" name="Haul_Report_Json_Import" displayName="Haul_Report_Json_Import" ref="A1:CL101" tableType="queryTable" totalsRowShown="0">
  <autoFilter ref="A1:CL101" xr:uid="{70A099EE-F7D5-4D8A-8D62-4FBE5509455F}"/>
  <tableColumns count="90">
    <tableColumn id="91" xr3:uid="{4BF9CDB3-519A-49FE-9B86-005588918172}" uniqueName="91" name="Column1.bin" queryTableFieldId="1"/>
    <tableColumn id="92" xr3:uid="{6E7F58F6-7E68-4B69-AA56-D0B01FDE8885}" uniqueName="92" name="Column1.closed_ms" queryTableFieldId="2"/>
    <tableColumn id="93" xr3:uid="{678278F2-1DEA-470F-BB7A-1C57E68AE134}" uniqueName="93" name="Column1.comments" queryTableFieldId="3"/>
    <tableColumn id="94" xr3:uid="{5F6B7519-D1BD-4D17-829C-C0E73AACA1BD}" uniqueName="94" name="Column1.converted.axis" queryTableFieldId="4"/>
    <tableColumn id="95" xr3:uid="{C8E01119-281A-4B0F-AAC9-83B7909D2AD3}" uniqueName="95" name="Column1.converted.quantity" queryTableFieldId="5"/>
    <tableColumn id="96" xr3:uid="{A1AC2DE6-DC7A-4BD8-B5D1-F7F1F55756DA}" uniqueName="96" name="Column1.converted.state" queryTableFieldId="6"/>
    <tableColumn id="97" xr3:uid="{603E5BE9-36A8-4083-8677-C39E238ED290}" uniqueName="97" name="Column1.converted.unit" queryTableFieldId="7"/>
    <tableColumn id="98" xr3:uid="{A568D1BE-F8DF-4DC5-B845-FDE14713BD32}" uniqueName="98" name="Column1.displacement" queryTableFieldId="8"/>
    <tableColumn id="99" xr3:uid="{A80027F4-C493-423D-A97A-B54F2692BF8F}" uniqueName="99" name="Column1.distance.empty" queryTableFieldId="9"/>
    <tableColumn id="100" xr3:uid="{FBB79FDF-42F1-4ADD-8853-AC89707FD3D4}" uniqueName="100" name="Column1.distance.loaded" queryTableFieldId="10"/>
    <tableColumn id="101" xr3:uid="{3EF0FA00-63BB-4C72-A354-0FF22BB7560D}" uniqueName="101" name="Column1.distance.total" queryTableFieldId="11"/>
    <tableColumn id="102" xr3:uid="{330040BD-7C2B-426E-8BFD-77CDBC000562}" uniqueName="102" name="Column1.duration.total" queryTableFieldId="12"/>
    <tableColumn id="103" xr3:uid="{9D0BB2DE-1B06-4E63-B2AD-D6FC56126B66}" uniqueName="103" name="Column1.duration.empty" queryTableFieldId="13"/>
    <tableColumn id="104" xr3:uid="{DDBE6E59-87AF-45C6-8704-5EFA8A1AF4B8}" uniqueName="104" name="Column1.duration.loaded" queryTableFieldId="14"/>
    <tableColumn id="105" xr3:uid="{1462D4E7-80F2-4F89-A826-2BFD1E177369}" uniqueName="105" name="Column1.end" queryTableFieldId="15"/>
    <tableColumn id="106" xr3:uid="{ABA1ECB3-6EFF-43B4-BE26-45351794718E}" uniqueName="106" name="Column1.first_coordinate.alt" queryTableFieldId="16"/>
    <tableColumn id="107" xr3:uid="{2F3802BB-198F-45FD-964C-3EFA768E820F}" uniqueName="107" name="Column1.first_coordinate.at" queryTableFieldId="17"/>
    <tableColumn id="108" xr3:uid="{FEB3ED15-7E70-4108-AA6A-EDBA04DA7389}" uniqueName="108" name="Column1.first_coordinate.distance" queryTableFieldId="18"/>
    <tableColumn id="109" xr3:uid="{5F598690-D3D9-48D2-A4B2-E2C0F3E37CD0}" uniqueName="109" name="Column1.first_coordinate.easting" queryTableFieldId="19"/>
    <tableColumn id="110" xr3:uid="{2C46576F-18A4-42EF-ADA3-5735095ACE49}" uniqueName="110" name="Column1.first_coordinate.haul_uuid" queryTableFieldId="20"/>
    <tableColumn id="111" xr3:uid="{A35B7639-CD2A-4742-AA23-CDE4B330BD9F}" uniqueName="111" name="Column1.first_coordinate.height" queryTableFieldId="21"/>
    <tableColumn id="112" xr3:uid="{85705B58-2CAF-4419-97A8-0965941502E7}" uniqueName="112" name="Column1.first_coordinate.lat" queryTableFieldId="22"/>
    <tableColumn id="113" xr3:uid="{E2842077-05C6-4C65-B5C5-EA0F82F6D113}" uniqueName="113" name="Column1.first_coordinate.lng" queryTableFieldId="23"/>
    <tableColumn id="114" xr3:uid="{B3ABBA13-FD93-4CF5-B22A-49B452177E10}" uniqueName="114" name="Column1.first_coordinate.machine_urn" queryTableFieldId="24"/>
    <tableColumn id="115" xr3:uid="{209E517E-3D8E-41F5-ACA1-AE6F52C6973B}" uniqueName="115" name="Column1.first_coordinate.northing" queryTableFieldId="25"/>
    <tableColumn id="116" xr3:uid="{23CD47DD-8E46-42BC-A012-7E09A4AA5B24}" uniqueName="116" name="Column1.first_ms" queryTableFieldId="26"/>
    <tableColumn id="117" xr3:uid="{DFFEB231-0D0C-4FBD-9954-F2661FF993C1}" uniqueName="117" name="Column1.last_coordinate.alt" queryTableFieldId="27"/>
    <tableColumn id="118" xr3:uid="{EB930F5C-3013-4437-8F79-013F66D54377}" uniqueName="118" name="Column1.last_coordinate.at" queryTableFieldId="28"/>
    <tableColumn id="119" xr3:uid="{952FEA16-0AD5-401A-B493-051BEDC33A6E}" uniqueName="119" name="Column1.last_coordinate.distance" queryTableFieldId="29"/>
    <tableColumn id="120" xr3:uid="{6691C37D-7EE4-4DFB-9D8D-85E8E2E96D93}" uniqueName="120" name="Column1.last_coordinate.easting" queryTableFieldId="30"/>
    <tableColumn id="121" xr3:uid="{E7E86800-D43C-4361-9EB6-137CDB5C3755}" uniqueName="121" name="Column1.last_coordinate.haul_uuid" queryTableFieldId="31"/>
    <tableColumn id="122" xr3:uid="{CBA67CB7-2EED-4D15-B413-9949E6AF71F0}" uniqueName="122" name="Column1.last_coordinate.height" queryTableFieldId="32"/>
    <tableColumn id="123" xr3:uid="{1538F777-0EE9-4C24-89A9-CF1CBDC4A4D0}" uniqueName="123" name="Column1.last_coordinate.lat" queryTableFieldId="33"/>
    <tableColumn id="124" xr3:uid="{90EE4DF5-7ECC-44EA-8A46-0E13DC675C53}" uniqueName="124" name="Column1.last_coordinate.lng" queryTableFieldId="34"/>
    <tableColumn id="125" xr3:uid="{A44320BB-A736-4865-940B-AEB20B8F2BFE}" uniqueName="125" name="Column1.last_coordinate.machine_urn" queryTableFieldId="35"/>
    <tableColumn id="126" xr3:uid="{8BC0D497-4411-4E1D-825F-C388A424C132}" uniqueName="126" name="Column1.last_coordinate.northing" queryTableFieldId="36"/>
    <tableColumn id="127" xr3:uid="{6FEA9F17-29F9-4E16-88BD-275E348DD540}" uniqueName="127" name="Column1.last_ms" queryTableFieldId="37"/>
    <tableColumn id="128" xr3:uid="{2D54C85C-6A4A-4457-A5BA-B96363CEB9C0}" uniqueName="128" name="Column1.line" queryTableFieldId="38"/>
    <tableColumn id="129" xr3:uid="{7CDA307F-1D59-4EE5-8456-0BEB8050540E}" uniqueName="129" name="Column1.load_coordinate.alt" queryTableFieldId="39"/>
    <tableColumn id="130" xr3:uid="{0FB0E8C9-204B-4766-86A8-4354DEAD5E4C}" uniqueName="130" name="Column1.load_coordinate.at" queryTableFieldId="40"/>
    <tableColumn id="131" xr3:uid="{E5CAE2E2-D4B9-467E-B60A-AC677773DE1E}" uniqueName="131" name="Column1.load_coordinate.distance" queryTableFieldId="41"/>
    <tableColumn id="132" xr3:uid="{58E183C5-571A-43D6-936D-D620F9F962B9}" uniqueName="132" name="Column1.load_coordinate.easting" queryTableFieldId="42"/>
    <tableColumn id="133" xr3:uid="{46E94656-B246-4265-8DB5-84CE9CEEA3F7}" uniqueName="133" name="Column1.load_coordinate.haul_uuid" queryTableFieldId="43"/>
    <tableColumn id="134" xr3:uid="{B280FD80-F716-4831-B8F2-86205E1A68B5}" uniqueName="134" name="Column1.load_coordinate.height" queryTableFieldId="44"/>
    <tableColumn id="135" xr3:uid="{83CDD1FD-6914-4EE4-BCFA-D8B9BBB55EF2}" uniqueName="135" name="Column1.load_coordinate.lat" queryTableFieldId="45"/>
    <tableColumn id="136" xr3:uid="{5380EE6B-5220-47C8-AD39-7CD284C147B7}" uniqueName="136" name="Column1.load_coordinate.lng" queryTableFieldId="46"/>
    <tableColumn id="137" xr3:uid="{898502B4-E8D6-4827-A3B8-2EF7CA5B0684}" uniqueName="137" name="Column1.load_coordinate.machine_urn" queryTableFieldId="47"/>
    <tableColumn id="138" xr3:uid="{E1054A8F-8897-48C2-8DAF-EED02DD404F6}" uniqueName="138" name="Column1.load_coordinate.northing" queryTableFieldId="48"/>
    <tableColumn id="139" xr3:uid="{9F1EC343-58EC-4BF9-9242-324483D5FFC3}" uniqueName="139" name="Column1.load_ms" queryTableFieldId="49"/>
    <tableColumn id="140" xr3:uid="{23BC7365-171D-4AB1-8848-79BEB3708AC2}" uniqueName="140" name="Column1.load_region" queryTableFieldId="50"/>
    <tableColumn id="141" xr3:uid="{901A62E0-C11D-4DCB-92FA-D900E596631D}" uniqueName="141" name="Column1.load_region_uuid" queryTableFieldId="51"/>
    <tableColumn id="142" xr3:uid="{132A2308-5251-4247-B592-3F26AB47670B}" uniqueName="142" name="Column1.machine" queryTableFieldId="52"/>
    <tableColumn id="143" xr3:uid="{E6404A28-CD6C-498A-8F2F-5461A4FD8380}" uniqueName="143" name="Column1.machine_uuid" queryTableFieldId="53"/>
    <tableColumn id="144" xr3:uid="{45AE5121-A34B-48E6-8D10-A73158FC9CEB}" uniqueName="144" name="Material" queryTableFieldId="54"/>
    <tableColumn id="145" xr3:uid="{709C5341-A1C6-418C-B8F6-752E0CD9E1FE}" uniqueName="145" name="Column1.material_axis" queryTableFieldId="55"/>
    <tableColumn id="146" xr3:uid="{DE0DB00A-50F4-4A44-B35F-B5AA0134F00B}" uniqueName="146" name="Column1.material_state" queryTableFieldId="56"/>
    <tableColumn id="147" xr3:uid="{35A0CB2D-28F1-4A4F-9173-87847DF3BB11}" uniqueName="147" name="Column1.material_unit" queryTableFieldId="57"/>
    <tableColumn id="148" xr3:uid="{1A22EA5E-828C-4E51-9DC7-565CC9751940}" uniqueName="148" name="Column1.material_uuid" queryTableFieldId="58"/>
    <tableColumn id="149" xr3:uid="{FF173DEA-271E-41A9-B4B7-66235042B80F}" uniqueName="149" name="Column1.operator" queryTableFieldId="59"/>
    <tableColumn id="150" xr3:uid="{4731E85D-ED0E-4218-816F-43AD87FC6D2C}" uniqueName="150" name="Column1.operator_uuid" queryTableFieldId="60"/>
    <tableColumn id="151" xr3:uid="{EB54D8B0-5648-4173-B6B9-5E1136298582}" uniqueName="151" name="Column1.ordinates" queryTableFieldId="61"/>
    <tableColumn id="152" xr3:uid="{871781EC-151D-41A8-BD5F-8A437F62114D}" uniqueName="152" name="Column1.quantity" queryTableFieldId="62"/>
    <tableColumn id="153" xr3:uid="{0F0DF75E-3350-4943-ABE1-707993AC43AE}" uniqueName="153" name="Column1.raw.axis" queryTableFieldId="63"/>
    <tableColumn id="154" xr3:uid="{9984B304-2763-4268-BB26-304AC563A9F1}" uniqueName="154" name="Column1.raw.quantity" queryTableFieldId="64"/>
    <tableColumn id="155" xr3:uid="{D508913D-17C7-463B-8D02-B563B4250742}" uniqueName="155" name="Column1.raw.state" queryTableFieldId="65"/>
    <tableColumn id="156" xr3:uid="{8585F438-C525-4D05-AB73-9DFC56DD7C3F}" uniqueName="156" name="Column1.raw.unit" queryTableFieldId="66"/>
    <tableColumn id="157" xr3:uid="{37511AF0-983A-4E6F-8F5B-4B86209C8D64}" uniqueName="157" name="Column1.start" queryTableFieldId="67"/>
    <tableColumn id="158" xr3:uid="{99835F90-4295-4679-BE7B-7284B7103B3A}" uniqueName="158" name="Column1.status" queryTableFieldId="68"/>
    <tableColumn id="159" xr3:uid="{56388ACD-8BC6-4977-A1E5-8B0E55D76340}" uniqueName="159" name="Column1.task" queryTableFieldId="69"/>
    <tableColumn id="160" xr3:uid="{04BD883F-520A-4320-AC0A-7C03FEE5A85A}" uniqueName="160" name="Column1.task_uuid" queryTableFieldId="70"/>
    <tableColumn id="161" xr3:uid="{AAEDCEB7-38F5-4D4F-AB7A-E06590B8042F}" uniqueName="161" name="Column1.time" queryTableFieldId="71"/>
    <tableColumn id="162" xr3:uid="{9B0E70BD-61D8-418A-AEEB-031639C0AA3C}" uniqueName="162" name="Column1.trails_uri" queryTableFieldId="72"/>
    <tableColumn id="163" xr3:uid="{022C7DB9-782E-4E0A-8058-880D4F4AF7F5}" uniqueName="163" name="Column1.trails_url" queryTableFieldId="73"/>
    <tableColumn id="164" xr3:uid="{723EBFED-087F-4567-805A-6C1CDBB6692A}" uniqueName="164" name="Column1.type" queryTableFieldId="74"/>
    <tableColumn id="165" xr3:uid="{5AD16F2F-7C43-4004-9946-32A2234AA979}" uniqueName="165" name="Column1.uuid" queryTableFieldId="75"/>
    <tableColumn id="166" xr3:uid="{A3B46432-573F-4D9A-AB5E-5B61076C6C86}" uniqueName="166" name="Column1.wat" queryTableFieldId="76"/>
    <tableColumn id="167" xr3:uid="{E2F48786-CE0F-4055-AC60-E95FB3A104CC}" uniqueName="167" name="Column1.counter" queryTableFieldId="77"/>
    <tableColumn id="168" xr3:uid="{C570BB3C-7E95-4296-93AB-E94B0197E8E4}" uniqueName="168" name="Column1.dump_coordinate.alt" queryTableFieldId="78"/>
    <tableColumn id="169" xr3:uid="{99867127-1EBA-470D-B3BE-2DF4AB979DF0}" uniqueName="169" name="Column1.dump_coordinate.at" queryTableFieldId="79"/>
    <tableColumn id="170" xr3:uid="{EFA0BCA2-166D-4545-927F-193FCDCAF057}" uniqueName="170" name="Column1.dump_coordinate.distance" queryTableFieldId="80"/>
    <tableColumn id="171" xr3:uid="{6D7EF5EF-9290-4015-959D-325FABC4835D}" uniqueName="171" name="Column1.dump_coordinate.easting" queryTableFieldId="81"/>
    <tableColumn id="172" xr3:uid="{F36DBC6E-6601-432E-9741-C4A9B911E0DD}" uniqueName="172" name="Column1.dump_coordinate.haul_uuid" queryTableFieldId="82"/>
    <tableColumn id="173" xr3:uid="{8BAA86AB-6A33-423A-B7DF-224DA88E8911}" uniqueName="173" name="Column1.dump_coordinate.height" queryTableFieldId="83"/>
    <tableColumn id="174" xr3:uid="{9E1596E2-0EB4-403B-8971-B4DBF9744618}" uniqueName="174" name="Column1.dump_coordinate.lat" queryTableFieldId="84"/>
    <tableColumn id="175" xr3:uid="{13937644-4CB3-40DA-92D2-7840AEE10D71}" uniqueName="175" name="Column1.dump_coordinate.lng" queryTableFieldId="85"/>
    <tableColumn id="176" xr3:uid="{99921C9D-1CEB-47B2-BF90-67FD02127943}" uniqueName="176" name="Column1.dump_coordinate.machine_urn" queryTableFieldId="86"/>
    <tableColumn id="177" xr3:uid="{C24FCCD8-2A95-49B7-B785-AA9F85F54304}" uniqueName="177" name="Column1.dump_coordinate.northing" queryTableFieldId="87"/>
    <tableColumn id="178" xr3:uid="{6E0D342B-1373-4639-AB55-930BCCD856E2}" uniqueName="178" name="Column1.dump_ms" queryTableFieldId="88"/>
    <tableColumn id="179" xr3:uid="{9F41F558-7F76-4EC3-919F-5F49398F64FC}" uniqueName="179" name="Column1.dump_region" queryTableFieldId="89"/>
    <tableColumn id="180" xr3:uid="{C641C8DA-4836-4C8E-994E-FD751A88C552}" uniqueName="180" name="Column1.dump_region_uuid" queryTableFieldId="9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5921C5-03DA-4D2C-87B9-DAA503CA00AC}" name="Trail_Json_Import" displayName="Trail_Json_Import" ref="A1:K116" tableType="queryTable" totalsRowShown="0">
  <autoFilter ref="A1:K116" xr:uid="{DD3937FC-129A-49D9-97EF-F4966C203A9A}"/>
  <tableColumns count="11">
    <tableColumn id="12" xr3:uid="{49295497-3F48-4036-B196-AC0359968D22}" uniqueName="12" name="Column1.alt" queryTableFieldId="1"/>
    <tableColumn id="13" xr3:uid="{1F218CED-DCF8-4226-A8A3-34FB781DAD56}" uniqueName="13" name="Column1.at" queryTableFieldId="2"/>
    <tableColumn id="14" xr3:uid="{88647582-1EE9-499C-A2A7-A7F9D5C5711B}" uniqueName="14" name="Column1.distance" queryTableFieldId="3"/>
    <tableColumn id="15" xr3:uid="{6A003DE0-151E-489A-BE3B-F3770AAE6239}" uniqueName="15" name="Column1.easting" queryTableFieldId="4"/>
    <tableColumn id="16" xr3:uid="{5626A6BA-A548-49CE-AD3A-CBACCDD81957}" uniqueName="16" name="Column1.haul_uuid" queryTableFieldId="5"/>
    <tableColumn id="17" xr3:uid="{31751CBC-AC77-4F63-B62D-D85FA6FD9CAB}" uniqueName="17" name="Column1.height" queryTableFieldId="6"/>
    <tableColumn id="18" xr3:uid="{1882DD1B-FB22-4561-AED7-6FAD181151B0}" uniqueName="18" name="Column1.lat" queryTableFieldId="7"/>
    <tableColumn id="19" xr3:uid="{3F78017B-C446-43CA-8E43-B62BB28A4C31}" uniqueName="19" name="Column1.lng" queryTableFieldId="8"/>
    <tableColumn id="20" xr3:uid="{18BE0375-291D-4C2B-9E1F-538BD3CBCBDC}" uniqueName="20" name="Column1.machine_urn" queryTableFieldId="9"/>
    <tableColumn id="21" xr3:uid="{4E53583C-1FA5-42D8-8BE9-BF4EF27AF0F4}" uniqueName="21" name="Column1.northing" queryTableFieldId="10"/>
    <tableColumn id="22" xr3:uid="{B471C549-509C-41BB-839E-598E2C9048D3}" uniqueName="22" name="Column1.state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40510-FED2-47DA-B0BA-ED87CCCA7B25}">
  <sheetPr codeName="Sheet1"/>
  <dimension ref="B1:Q36"/>
  <sheetViews>
    <sheetView showGridLines="0" tabSelected="1" zoomScaleNormal="100" workbookViewId="0">
      <selection activeCell="H3" sqref="H3"/>
    </sheetView>
  </sheetViews>
  <sheetFormatPr defaultRowHeight="15" x14ac:dyDescent="0.25"/>
  <cols>
    <col min="2" max="2" width="7.140625" bestFit="1" customWidth="1"/>
    <col min="3" max="3" width="14.85546875" bestFit="1" customWidth="1"/>
    <col min="4" max="4" width="18.42578125" bestFit="1" customWidth="1"/>
    <col min="5" max="5" width="12.140625" bestFit="1" customWidth="1"/>
    <col min="7" max="7" width="18.140625" bestFit="1" customWidth="1"/>
    <col min="8" max="8" width="32.5703125" bestFit="1" customWidth="1"/>
    <col min="9" max="9" width="35.28515625" bestFit="1" customWidth="1"/>
    <col min="10" max="10" width="24.7109375" customWidth="1"/>
    <col min="11" max="11" width="14" bestFit="1" customWidth="1"/>
    <col min="12" max="12" width="21.42578125" bestFit="1" customWidth="1"/>
    <col min="13" max="13" width="21.140625" bestFit="1" customWidth="1"/>
    <col min="14" max="14" width="17.7109375" bestFit="1" customWidth="1"/>
    <col min="15" max="15" width="16.140625" bestFit="1" customWidth="1"/>
    <col min="16" max="16" width="12.7109375" bestFit="1" customWidth="1"/>
    <col min="17" max="17" width="12.42578125" bestFit="1" customWidth="1"/>
  </cols>
  <sheetData>
    <row r="1" spans="2:17" x14ac:dyDescent="0.25">
      <c r="B1" s="4"/>
      <c r="C1" s="4"/>
      <c r="D1" s="4"/>
      <c r="E1" s="4"/>
      <c r="F1" s="2"/>
      <c r="G1" s="4"/>
    </row>
    <row r="2" spans="2:17" x14ac:dyDescent="0.25">
      <c r="G2" s="5" t="str" cm="1">
        <f t="array" ref="G2:G6">_xlfn.UNIQUE('Report Data'!BB:BB)</f>
        <v>Material</v>
      </c>
      <c r="H2" s="5" t="s">
        <v>47</v>
      </c>
      <c r="I2" s="5" t="s">
        <v>48</v>
      </c>
      <c r="J2" s="5" t="s">
        <v>52</v>
      </c>
      <c r="K2" s="2"/>
      <c r="L2" s="2"/>
      <c r="M2" s="2"/>
      <c r="N2" s="2"/>
      <c r="O2" s="2"/>
      <c r="P2" s="2"/>
    </row>
    <row r="3" spans="2:17" x14ac:dyDescent="0.25">
      <c r="B3" s="2"/>
      <c r="C3" s="2"/>
      <c r="D3" s="2"/>
      <c r="E3" s="2"/>
      <c r="F3" s="2"/>
      <c r="G3" t="str">
        <v>Fill Dirt</v>
      </c>
      <c r="H3" s="1"/>
      <c r="I3" s="2">
        <v>2000</v>
      </c>
      <c r="J3" s="2">
        <v>4000</v>
      </c>
      <c r="K3" s="2"/>
      <c r="L3" s="2"/>
      <c r="M3" s="2"/>
      <c r="N3" s="2"/>
      <c r="O3" s="2"/>
      <c r="P3" s="2"/>
    </row>
    <row r="4" spans="2:17" x14ac:dyDescent="0.25">
      <c r="G4" t="str">
        <v>3/4 Aggregate Base</v>
      </c>
      <c r="H4" s="1"/>
      <c r="I4" s="2">
        <v>200</v>
      </c>
      <c r="J4">
        <v>400</v>
      </c>
    </row>
    <row r="5" spans="2:17" x14ac:dyDescent="0.25">
      <c r="C5" s="2"/>
      <c r="D5" s="2"/>
      <c r="G5" t="str">
        <v>Broken Concrete</v>
      </c>
      <c r="H5" s="1"/>
      <c r="I5" s="2">
        <v>800</v>
      </c>
      <c r="J5">
        <v>1000</v>
      </c>
    </row>
    <row r="6" spans="2:17" x14ac:dyDescent="0.25">
      <c r="C6" s="3"/>
      <c r="D6" s="2"/>
      <c r="G6">
        <v>0</v>
      </c>
      <c r="H6" s="2"/>
      <c r="I6" s="2"/>
    </row>
    <row r="7" spans="2:17" x14ac:dyDescent="0.25">
      <c r="H7" s="2"/>
      <c r="I7" s="2"/>
    </row>
    <row r="8" spans="2:17" x14ac:dyDescent="0.25">
      <c r="B8" t="s">
        <v>170</v>
      </c>
      <c r="D8" t="str" cm="1">
        <f t="array" aca="1" ref="D8" ca="1">LEFT(CELL("filename",$A$1),FIND("[",CELL("filename",$A$1),1)-1)</f>
        <v>C:\Users\pconlon\Desktop\git\yeleva-sitelink3dv2-api-tools\reports\excel-haul-report-analysis\</v>
      </c>
      <c r="H8" s="2"/>
      <c r="I8" s="2"/>
    </row>
    <row r="9" spans="2:17" x14ac:dyDescent="0.25">
      <c r="H9" s="2"/>
      <c r="I9" s="2"/>
    </row>
    <row r="10" spans="2:17" x14ac:dyDescent="0.25">
      <c r="B10" t="s">
        <v>53</v>
      </c>
      <c r="I10" s="2"/>
      <c r="L10" s="5"/>
      <c r="M10" s="5"/>
      <c r="N10" s="5"/>
      <c r="O10" s="5"/>
      <c r="P10" s="5"/>
      <c r="Q10" s="5"/>
    </row>
    <row r="11" spans="2:17" x14ac:dyDescent="0.25">
      <c r="B11" t="s">
        <v>54</v>
      </c>
      <c r="I11" s="2"/>
      <c r="L11" s="2"/>
      <c r="P11" s="6"/>
      <c r="Q11" s="6"/>
    </row>
    <row r="12" spans="2:17" x14ac:dyDescent="0.25">
      <c r="B12" t="s">
        <v>55</v>
      </c>
      <c r="I12" s="2"/>
      <c r="L12" s="2"/>
      <c r="M12" s="2"/>
      <c r="P12" s="6"/>
      <c r="Q12" s="6"/>
    </row>
    <row r="13" spans="2:17" x14ac:dyDescent="0.25">
      <c r="L13" s="2"/>
      <c r="M13" s="2"/>
      <c r="P13" s="6"/>
      <c r="Q13" s="6"/>
    </row>
    <row r="14" spans="2:17" x14ac:dyDescent="0.25">
      <c r="B14" s="15" t="e">
        <f>"Report data from "&amp;#REF!&amp;#REF!&amp;" to "</f>
        <v>#REF!</v>
      </c>
      <c r="H14" s="2"/>
      <c r="I14" s="2"/>
    </row>
    <row r="15" spans="2:17" x14ac:dyDescent="0.25">
      <c r="H15" s="2"/>
      <c r="I15" s="2"/>
    </row>
    <row r="16" spans="2:17" x14ac:dyDescent="0.25">
      <c r="H16" s="2"/>
      <c r="I16" s="2"/>
    </row>
    <row r="17" spans="2:9" x14ac:dyDescent="0.25">
      <c r="B17" t="s">
        <v>56</v>
      </c>
      <c r="H17" s="2"/>
      <c r="I17" s="2"/>
    </row>
    <row r="18" spans="2:9" x14ac:dyDescent="0.25">
      <c r="B18" t="s">
        <v>57</v>
      </c>
      <c r="H18" s="2"/>
      <c r="I18" s="2"/>
    </row>
    <row r="19" spans="2:9" x14ac:dyDescent="0.25">
      <c r="B19" t="s">
        <v>58</v>
      </c>
      <c r="H19" s="2"/>
      <c r="I19" s="2"/>
    </row>
    <row r="20" spans="2:9" x14ac:dyDescent="0.25">
      <c r="B20" t="s">
        <v>59</v>
      </c>
      <c r="I20" s="2"/>
    </row>
    <row r="21" spans="2:9" x14ac:dyDescent="0.25">
      <c r="B21" t="s">
        <v>60</v>
      </c>
      <c r="C21" s="5"/>
      <c r="D21" s="5"/>
      <c r="E21" s="5"/>
      <c r="F21" s="5"/>
      <c r="I21" s="2"/>
    </row>
    <row r="22" spans="2:9" x14ac:dyDescent="0.25">
      <c r="C22" s="2"/>
      <c r="I22" s="2"/>
    </row>
    <row r="23" spans="2:9" x14ac:dyDescent="0.25">
      <c r="I23" s="2"/>
    </row>
    <row r="28" spans="2:9" x14ac:dyDescent="0.25">
      <c r="B28" s="2"/>
      <c r="C28" s="2"/>
    </row>
    <row r="29" spans="2:9" x14ac:dyDescent="0.25">
      <c r="B29" s="2"/>
      <c r="C29" s="2"/>
    </row>
    <row r="30" spans="2:9" x14ac:dyDescent="0.25">
      <c r="B30" s="2"/>
      <c r="C30" s="2"/>
    </row>
    <row r="31" spans="2:9" x14ac:dyDescent="0.25">
      <c r="B31" s="2"/>
      <c r="C31" s="2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s="2" customFormat="1" x14ac:dyDescent="0.25"/>
  </sheetData>
  <sortState xmlns:xlrd2="http://schemas.microsoft.com/office/spreadsheetml/2017/richdata2" ref="H14:I19">
    <sortCondition ref="I14:I19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ommandButton3">
          <controlPr defaultSize="0" autoLine="0" r:id="rId5">
            <anchor moveWithCells="1">
              <from>
                <xdr:col>6</xdr:col>
                <xdr:colOff>1085850</xdr:colOff>
                <xdr:row>22</xdr:row>
                <xdr:rowOff>104775</xdr:rowOff>
              </from>
              <to>
                <xdr:col>7</xdr:col>
                <xdr:colOff>1695450</xdr:colOff>
                <xdr:row>24</xdr:row>
                <xdr:rowOff>38100</xdr:rowOff>
              </to>
            </anchor>
          </controlPr>
        </control>
      </mc:Choice>
      <mc:Fallback>
        <control shapeId="12292" r:id="rId4" name="CommandButton3"/>
      </mc:Fallback>
    </mc:AlternateContent>
    <mc:AlternateContent xmlns:mc="http://schemas.openxmlformats.org/markup-compatibility/2006">
      <mc:Choice Requires="x14">
        <control shapeId="12290" r:id="rId6" name="CommandButton1">
          <controlPr defaultSize="0" autoLine="0" autoPict="0" r:id="rId7">
            <anchor moveWithCells="1">
              <from>
                <xdr:col>6</xdr:col>
                <xdr:colOff>1057275</xdr:colOff>
                <xdr:row>20</xdr:row>
                <xdr:rowOff>0</xdr:rowOff>
              </from>
              <to>
                <xdr:col>7</xdr:col>
                <xdr:colOff>1695450</xdr:colOff>
                <xdr:row>21</xdr:row>
                <xdr:rowOff>123825</xdr:rowOff>
              </to>
            </anchor>
          </controlPr>
        </control>
      </mc:Choice>
      <mc:Fallback>
        <control shapeId="12290" r:id="rId6" name="CommandButton1"/>
      </mc:Fallback>
    </mc:AlternateContent>
    <mc:AlternateContent xmlns:mc="http://schemas.openxmlformats.org/markup-compatibility/2006">
      <mc:Choice Requires="x14">
        <control shapeId="12293" r:id="rId8" name="CommandButton2">
          <controlPr defaultSize="0" autoLine="0" autoPict="0" r:id="rId9">
            <anchor moveWithCells="1">
              <from>
                <xdr:col>8</xdr:col>
                <xdr:colOff>76200</xdr:colOff>
                <xdr:row>20</xdr:row>
                <xdr:rowOff>9525</xdr:rowOff>
              </from>
              <to>
                <xdr:col>8</xdr:col>
                <xdr:colOff>1704975</xdr:colOff>
                <xdr:row>21</xdr:row>
                <xdr:rowOff>171450</xdr:rowOff>
              </to>
            </anchor>
          </controlPr>
        </control>
      </mc:Choice>
      <mc:Fallback>
        <control shapeId="12293" r:id="rId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88405-EC83-4133-BE0D-F0986068CA79}">
  <sheetPr codeName="Sheet2"/>
  <dimension ref="B2:Q28"/>
  <sheetViews>
    <sheetView showGridLines="0" zoomScale="85" zoomScaleNormal="85" workbookViewId="0">
      <selection activeCell="P3" sqref="K3:P3"/>
    </sheetView>
  </sheetViews>
  <sheetFormatPr defaultRowHeight="15" x14ac:dyDescent="0.25"/>
  <cols>
    <col min="1" max="1" width="9.140625" style="2"/>
    <col min="2" max="2" width="6.7109375" style="2" bestFit="1" customWidth="1"/>
    <col min="3" max="3" width="14.85546875" style="2" bestFit="1" customWidth="1"/>
    <col min="4" max="4" width="18.42578125" style="2" bestFit="1" customWidth="1"/>
    <col min="5" max="5" width="12.140625" style="2" bestFit="1" customWidth="1"/>
    <col min="6" max="6" width="9.140625" style="2"/>
    <col min="7" max="7" width="18.140625" style="2" bestFit="1" customWidth="1"/>
    <col min="8" max="8" width="32.5703125" style="2" bestFit="1" customWidth="1"/>
    <col min="9" max="9" width="25.5703125" style="2" customWidth="1"/>
    <col min="10" max="10" width="8.5703125" style="2" bestFit="1" customWidth="1"/>
    <col min="11" max="11" width="14" style="2" bestFit="1" customWidth="1"/>
    <col min="12" max="12" width="21.42578125" style="2" bestFit="1" customWidth="1"/>
    <col min="13" max="13" width="21.140625" style="2" bestFit="1" customWidth="1"/>
    <col min="14" max="14" width="17.7109375" style="2" bestFit="1" customWidth="1"/>
    <col min="15" max="15" width="16.140625" style="2" bestFit="1" customWidth="1"/>
    <col min="16" max="16" width="12.7109375" style="2" bestFit="1" customWidth="1"/>
    <col min="17" max="17" width="12.42578125" style="2" bestFit="1" customWidth="1"/>
    <col min="18" max="16384" width="9.140625" style="2"/>
  </cols>
  <sheetData>
    <row r="2" spans="2:17" x14ac:dyDescent="0.25">
      <c r="B2" s="4"/>
      <c r="C2" s="4"/>
      <c r="D2" s="4"/>
      <c r="E2" s="4"/>
      <c r="K2" s="2" t="s">
        <v>18</v>
      </c>
    </row>
    <row r="3" spans="2:17" x14ac:dyDescent="0.25">
      <c r="I3" s="2" t="s">
        <v>21</v>
      </c>
      <c r="J3" s="4" t="s">
        <v>2</v>
      </c>
      <c r="K3" s="2" t="s">
        <v>22</v>
      </c>
      <c r="L3" s="2" t="s">
        <v>23</v>
      </c>
      <c r="M3" s="2" t="s">
        <v>24</v>
      </c>
      <c r="N3" s="2" t="s">
        <v>25</v>
      </c>
      <c r="O3" s="2" t="s">
        <v>26</v>
      </c>
      <c r="P3" s="2" t="s">
        <v>27</v>
      </c>
    </row>
    <row r="4" spans="2:17" x14ac:dyDescent="0.25">
      <c r="H4" s="3">
        <v>690</v>
      </c>
      <c r="I4" s="2" t="e">
        <f t="shared" ref="I4:I9" si="0">_xlfn.NORM.DIST(E3,$C$6,$D$6,FALSE)</f>
        <v>#REF!</v>
      </c>
    </row>
    <row r="5" spans="2:17" x14ac:dyDescent="0.25">
      <c r="C5" s="2" t="s">
        <v>19</v>
      </c>
      <c r="D5" s="2" t="s">
        <v>20</v>
      </c>
      <c r="H5" s="3">
        <v>800</v>
      </c>
      <c r="I5" s="2" t="e">
        <f t="shared" si="0"/>
        <v>#REF!</v>
      </c>
    </row>
    <row r="6" spans="2:17" x14ac:dyDescent="0.25">
      <c r="C6" s="3" t="e">
        <f>AVERAGE(#REF!)</f>
        <v>#REF!</v>
      </c>
      <c r="D6" s="2" t="e">
        <f>STDEVA(#REF!)</f>
        <v>#REF!</v>
      </c>
      <c r="H6" s="3">
        <v>1112</v>
      </c>
      <c r="I6" s="2" t="e">
        <f t="shared" si="0"/>
        <v>#REF!</v>
      </c>
    </row>
    <row r="7" spans="2:17" x14ac:dyDescent="0.25">
      <c r="H7" s="3">
        <v>1404</v>
      </c>
      <c r="I7" s="2" t="e">
        <f t="shared" si="0"/>
        <v>#REF!</v>
      </c>
    </row>
    <row r="8" spans="2:17" x14ac:dyDescent="0.25">
      <c r="H8" s="3">
        <v>1460</v>
      </c>
      <c r="I8" s="2" t="e">
        <f t="shared" si="0"/>
        <v>#REF!</v>
      </c>
    </row>
    <row r="9" spans="2:17" x14ac:dyDescent="0.25">
      <c r="H9" s="3">
        <v>1783</v>
      </c>
      <c r="I9" s="2" t="e">
        <f t="shared" si="0"/>
        <v>#REF!</v>
      </c>
    </row>
    <row r="10" spans="2:17" x14ac:dyDescent="0.25">
      <c r="L10" s="5"/>
      <c r="M10" s="5"/>
      <c r="N10" s="5"/>
      <c r="O10" s="5"/>
      <c r="P10" s="5"/>
      <c r="Q10" s="5"/>
    </row>
    <row r="11" spans="2:17" x14ac:dyDescent="0.25">
      <c r="P11" s="6"/>
      <c r="Q11" s="6"/>
    </row>
    <row r="12" spans="2:17" x14ac:dyDescent="0.25">
      <c r="P12" s="6"/>
      <c r="Q12" s="6"/>
    </row>
    <row r="13" spans="2:17" x14ac:dyDescent="0.25">
      <c r="P13" s="6"/>
      <c r="Q13" s="6"/>
    </row>
    <row r="21" spans="3:9" x14ac:dyDescent="0.25">
      <c r="C21" s="5"/>
      <c r="D21" s="5"/>
      <c r="E21" s="5"/>
      <c r="F21" s="5"/>
    </row>
    <row r="28" spans="3:9" x14ac:dyDescent="0.25">
      <c r="I28" s="2" t="e">
        <f>'Progress Calcs'!C22&amp;#REF!</f>
        <v>#REF!</v>
      </c>
    </row>
  </sheetData>
  <conditionalFormatting sqref="H6:H9">
    <cfRule type="notContainsBlanks" dxfId="19" priority="3">
      <formula>LEN(TRIM(H6))&gt;0</formula>
    </cfRule>
    <cfRule type="containsBlanks" dxfId="18" priority="4">
      <formula>LEN(TRIM(H6))=0</formula>
    </cfRule>
  </conditionalFormatting>
  <conditionalFormatting sqref="J3">
    <cfRule type="notContainsBlanks" dxfId="17" priority="5">
      <formula>LEN(TRIM(J3))&gt;0</formula>
    </cfRule>
    <cfRule type="containsBlanks" dxfId="16" priority="6">
      <formula>LEN(TRIM(J3))=0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Drop Down 1">
              <controlPr defaultSize="0" autoLine="0" autoPict="0">
                <anchor moveWithCells="1">
                  <from>
                    <xdr:col>3</xdr:col>
                    <xdr:colOff>0</xdr:colOff>
                    <xdr:row>30</xdr:row>
                    <xdr:rowOff>28575</xdr:rowOff>
                  </from>
                  <to>
                    <xdr:col>6</xdr:col>
                    <xdr:colOff>133350</xdr:colOff>
                    <xdr:row>31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63225-9B07-48F4-87C7-901223A1F3BA}">
  <sheetPr codeName="Sheet3"/>
  <dimension ref="B2:Q35"/>
  <sheetViews>
    <sheetView zoomScale="85" zoomScaleNormal="85" workbookViewId="0">
      <selection activeCell="C15" sqref="C15"/>
    </sheetView>
  </sheetViews>
  <sheetFormatPr defaultRowHeight="15" x14ac:dyDescent="0.25"/>
  <cols>
    <col min="1" max="1" width="9.140625" style="2"/>
    <col min="2" max="2" width="6.7109375" style="2" bestFit="1" customWidth="1"/>
    <col min="3" max="3" width="14.85546875" style="2" bestFit="1" customWidth="1"/>
    <col min="4" max="4" width="18.42578125" style="2" bestFit="1" customWidth="1"/>
    <col min="5" max="5" width="35.28515625" style="2" bestFit="1" customWidth="1"/>
    <col min="6" max="6" width="13.7109375" style="2" bestFit="1" customWidth="1"/>
    <col min="7" max="7" width="18.140625" style="2" bestFit="1" customWidth="1"/>
    <col min="8" max="8" width="32.5703125" style="2" bestFit="1" customWidth="1"/>
    <col min="9" max="9" width="25.5703125" style="2" customWidth="1"/>
    <col min="10" max="10" width="8.5703125" style="2" bestFit="1" customWidth="1"/>
    <col min="11" max="11" width="14" style="2" bestFit="1" customWidth="1"/>
    <col min="12" max="12" width="21.42578125" style="2" bestFit="1" customWidth="1"/>
    <col min="13" max="13" width="21.140625" style="2" bestFit="1" customWidth="1"/>
    <col min="14" max="14" width="17.7109375" style="2" bestFit="1" customWidth="1"/>
    <col min="15" max="15" width="16.140625" style="2" bestFit="1" customWidth="1"/>
    <col min="16" max="16" width="12.7109375" style="2" bestFit="1" customWidth="1"/>
    <col min="17" max="17" width="12.42578125" style="2" bestFit="1" customWidth="1"/>
    <col min="18" max="16384" width="9.140625" style="2"/>
  </cols>
  <sheetData>
    <row r="2" spans="2:17" x14ac:dyDescent="0.25">
      <c r="B2" s="4"/>
      <c r="C2" s="4"/>
      <c r="D2" s="4"/>
      <c r="E2" s="4"/>
      <c r="K2" s="2" t="s">
        <v>18</v>
      </c>
    </row>
    <row r="3" spans="2:17" x14ac:dyDescent="0.25">
      <c r="I3" s="2" t="s">
        <v>21</v>
      </c>
      <c r="J3" s="4" t="s">
        <v>2</v>
      </c>
      <c r="K3" s="2" t="s">
        <v>22</v>
      </c>
      <c r="L3" s="2" t="s">
        <v>23</v>
      </c>
      <c r="M3" s="2" t="s">
        <v>24</v>
      </c>
      <c r="N3" s="2" t="s">
        <v>25</v>
      </c>
      <c r="O3" s="2" t="s">
        <v>26</v>
      </c>
      <c r="P3" s="2" t="s">
        <v>27</v>
      </c>
    </row>
    <row r="4" spans="2:17" x14ac:dyDescent="0.25">
      <c r="H4" s="3">
        <v>690</v>
      </c>
      <c r="I4" s="2" t="e">
        <f t="shared" ref="I4:I9" si="0">_xlfn.NORM.DIST(E3,$C$6,$D$6,FALSE)</f>
        <v>#REF!</v>
      </c>
    </row>
    <row r="5" spans="2:17" x14ac:dyDescent="0.25">
      <c r="C5" s="2" t="s">
        <v>19</v>
      </c>
      <c r="D5" s="2" t="s">
        <v>20</v>
      </c>
      <c r="H5" s="3">
        <v>800</v>
      </c>
      <c r="I5" s="2" t="e">
        <f t="shared" si="0"/>
        <v>#REF!</v>
      </c>
    </row>
    <row r="6" spans="2:17" x14ac:dyDescent="0.25">
      <c r="C6" s="3" t="e">
        <f>AVERAGE(#REF!)</f>
        <v>#REF!</v>
      </c>
      <c r="D6" s="2" t="e">
        <f>STDEVA(#REF!)</f>
        <v>#REF!</v>
      </c>
      <c r="H6" s="3">
        <v>1112</v>
      </c>
      <c r="I6" s="2" t="e">
        <f t="shared" si="0"/>
        <v>#REF!</v>
      </c>
    </row>
    <row r="7" spans="2:17" x14ac:dyDescent="0.25">
      <c r="H7" s="3">
        <v>1404</v>
      </c>
      <c r="I7" s="2" t="e">
        <f t="shared" si="0"/>
        <v>#REF!</v>
      </c>
    </row>
    <row r="8" spans="2:17" x14ac:dyDescent="0.25">
      <c r="H8" s="3">
        <v>1460</v>
      </c>
      <c r="I8" s="2" t="e">
        <f t="shared" si="0"/>
        <v>#REF!</v>
      </c>
    </row>
    <row r="9" spans="2:17" x14ac:dyDescent="0.25">
      <c r="H9" s="3">
        <v>1783</v>
      </c>
      <c r="I9" s="2" t="e">
        <f t="shared" si="0"/>
        <v>#REF!</v>
      </c>
    </row>
    <row r="10" spans="2:17" x14ac:dyDescent="0.25">
      <c r="L10" s="5" t="s">
        <v>0</v>
      </c>
      <c r="M10" s="5" t="s">
        <v>29</v>
      </c>
      <c r="N10" s="5" t="s">
        <v>30</v>
      </c>
      <c r="O10" s="5" t="s">
        <v>31</v>
      </c>
      <c r="P10" s="5" t="s">
        <v>32</v>
      </c>
      <c r="Q10" s="5" t="s">
        <v>33</v>
      </c>
    </row>
    <row r="11" spans="2:17" x14ac:dyDescent="0.25">
      <c r="L11" s="2" t="s">
        <v>13</v>
      </c>
      <c r="M11" s="2" t="e">
        <f>SUMIF(#REF!,'Progress Calcs'!L11,#REF!)</f>
        <v>#REF!</v>
      </c>
      <c r="N11" s="2">
        <v>200</v>
      </c>
      <c r="O11" s="2">
        <v>14</v>
      </c>
      <c r="P11" s="6" t="e">
        <f>M11/N11</f>
        <v>#REF!</v>
      </c>
      <c r="Q11" s="6" t="e">
        <f>1-P11</f>
        <v>#REF!</v>
      </c>
    </row>
    <row r="12" spans="2:17" x14ac:dyDescent="0.25">
      <c r="C12" s="2" t="s">
        <v>51</v>
      </c>
      <c r="L12" s="2" t="s">
        <v>12</v>
      </c>
      <c r="M12" s="2" t="e">
        <f>SUMIF(#REF!,'Progress Calcs'!L12,#REF!)</f>
        <v>#REF!</v>
      </c>
      <c r="N12" s="2">
        <v>650</v>
      </c>
      <c r="O12" s="2">
        <v>12</v>
      </c>
      <c r="P12" s="6" t="e">
        <f>M12/N12</f>
        <v>#REF!</v>
      </c>
      <c r="Q12" s="6" t="e">
        <f>1-P12</f>
        <v>#REF!</v>
      </c>
    </row>
    <row r="13" spans="2:17" x14ac:dyDescent="0.25">
      <c r="I13" s="2" t="s">
        <v>28</v>
      </c>
      <c r="L13" s="2" t="s">
        <v>4</v>
      </c>
      <c r="M13" s="2" t="e">
        <f>SUMIF(#REF!,'Progress Calcs'!L13,#REF!)</f>
        <v>#REF!</v>
      </c>
      <c r="N13" s="2">
        <v>1110</v>
      </c>
      <c r="O13" s="2">
        <v>15.5</v>
      </c>
      <c r="P13" s="6" t="e">
        <f>M13/N13</f>
        <v>#REF!</v>
      </c>
      <c r="Q13" s="6" t="e">
        <f>1-P13</f>
        <v>#REF!</v>
      </c>
    </row>
    <row r="14" spans="2:17" x14ac:dyDescent="0.25">
      <c r="C14" s="2">
        <v>1</v>
      </c>
      <c r="H14" s="2" t="s">
        <v>9</v>
      </c>
      <c r="I14" s="3">
        <v>784</v>
      </c>
    </row>
    <row r="15" spans="2:17" x14ac:dyDescent="0.25">
      <c r="C15" s="2" t="str" cm="1">
        <f t="array" ref="C15">INDEX(Config!G3:G4,C14)</f>
        <v>Fill Dirt</v>
      </c>
      <c r="H15" s="2" t="s">
        <v>8</v>
      </c>
      <c r="I15" s="3">
        <v>845</v>
      </c>
    </row>
    <row r="16" spans="2:17" x14ac:dyDescent="0.25">
      <c r="H16" s="2" t="s">
        <v>3</v>
      </c>
      <c r="I16" s="3">
        <v>999</v>
      </c>
    </row>
    <row r="17" spans="2:9" x14ac:dyDescent="0.25">
      <c r="H17" s="2" t="s">
        <v>10</v>
      </c>
      <c r="I17" s="3">
        <v>1042</v>
      </c>
    </row>
    <row r="18" spans="2:9" x14ac:dyDescent="0.25">
      <c r="H18" s="2" t="s">
        <v>11</v>
      </c>
      <c r="I18" s="3">
        <v>1064</v>
      </c>
    </row>
    <row r="19" spans="2:9" x14ac:dyDescent="0.25">
      <c r="H19" s="2" t="s">
        <v>7</v>
      </c>
      <c r="I19" s="3">
        <v>1069</v>
      </c>
    </row>
    <row r="21" spans="2:9" x14ac:dyDescent="0.25">
      <c r="C21" s="5" t="s">
        <v>34</v>
      </c>
      <c r="D21" s="5" t="s">
        <v>35</v>
      </c>
      <c r="E21" s="5" t="s">
        <v>48</v>
      </c>
      <c r="F21" s="5" t="s">
        <v>49</v>
      </c>
    </row>
    <row r="22" spans="2:9" x14ac:dyDescent="0.25">
      <c r="B22" s="2" t="s">
        <v>50</v>
      </c>
      <c r="C22" s="16">
        <f>SUMIF('Report Data'!BB:BB,'Progress Calcs'!C15,'Report Data'!E:E)</f>
        <v>64</v>
      </c>
      <c r="D22" s="2" t="s">
        <v>39</v>
      </c>
      <c r="E22" s="2" cm="1">
        <f t="array" ref="E22">INDEX(Config!I:I,'Progress Calcs'!C14+2)</f>
        <v>2000</v>
      </c>
      <c r="F22" s="2" cm="1">
        <f t="array" ref="F22">INDEX(Config!J:J,'Progress Calcs'!C14+2)</f>
        <v>4000</v>
      </c>
    </row>
    <row r="23" spans="2:9" x14ac:dyDescent="0.25">
      <c r="D23" s="2" t="s">
        <v>36</v>
      </c>
      <c r="E23" s="2">
        <f>F22-E22</f>
        <v>2000</v>
      </c>
    </row>
    <row r="24" spans="2:9" x14ac:dyDescent="0.25">
      <c r="D24" s="2" t="s">
        <v>1</v>
      </c>
      <c r="E24" s="2">
        <f>SUM(E22:E23)</f>
        <v>4000</v>
      </c>
    </row>
    <row r="28" spans="2:9" ht="15.75" thickBot="1" x14ac:dyDescent="0.3">
      <c r="B28" s="7"/>
      <c r="C28" s="8" t="s">
        <v>40</v>
      </c>
    </row>
    <row r="29" spans="2:9" ht="15.75" thickTop="1" x14ac:dyDescent="0.25">
      <c r="B29" s="9" t="s">
        <v>41</v>
      </c>
      <c r="C29" s="10">
        <f>C22</f>
        <v>64</v>
      </c>
    </row>
    <row r="30" spans="2:9" x14ac:dyDescent="0.25">
      <c r="B30" s="11" t="s">
        <v>42</v>
      </c>
      <c r="C30" s="12">
        <f>E24*0.015</f>
        <v>60</v>
      </c>
    </row>
    <row r="31" spans="2:9" x14ac:dyDescent="0.25">
      <c r="B31" s="13" t="s">
        <v>43</v>
      </c>
      <c r="C31" s="14">
        <f>SUM(E22:E24)-SUM(C29:C30)</f>
        <v>7876</v>
      </c>
    </row>
    <row r="35" spans="3:3" x14ac:dyDescent="0.25">
      <c r="C35" s="2" t="e">
        <f>SUMIF(#REF!,'Progress Calcs'!C15,#REF!)</f>
        <v>#REF!</v>
      </c>
    </row>
  </sheetData>
  <conditionalFormatting sqref="H6:H9">
    <cfRule type="notContainsBlanks" dxfId="15" priority="5">
      <formula>LEN(TRIM(H6))&gt;0</formula>
    </cfRule>
    <cfRule type="containsBlanks" dxfId="14" priority="6">
      <formula>LEN(TRIM(H6))=0</formula>
    </cfRule>
  </conditionalFormatting>
  <conditionalFormatting sqref="J3">
    <cfRule type="notContainsBlanks" dxfId="13" priority="7">
      <formula>LEN(TRIM(J3))&gt;0</formula>
    </cfRule>
    <cfRule type="containsBlanks" dxfId="12" priority="8">
      <formula>LEN(TRIM(J3))=0</formula>
    </cfRule>
  </conditionalFormatting>
  <conditionalFormatting sqref="I14:I19">
    <cfRule type="notContainsBlanks" dxfId="11" priority="3">
      <formula>LEN(TRIM(I14))&gt;0</formula>
    </cfRule>
    <cfRule type="containsBlanks" dxfId="10" priority="4">
      <formula>LEN(TRIM(I14))=0</formula>
    </cfRule>
  </conditionalFormatting>
  <conditionalFormatting sqref="C14:C15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92104-8113-40E6-8FD1-8AE20ED123D3}">
  <sheetPr codeName="Sheet4"/>
  <dimension ref="B2:Q31"/>
  <sheetViews>
    <sheetView showGridLines="0" topLeftCell="E1" zoomScale="85" zoomScaleNormal="85" workbookViewId="0">
      <selection activeCell="T18" sqref="T18"/>
    </sheetView>
  </sheetViews>
  <sheetFormatPr defaultRowHeight="15" x14ac:dyDescent="0.25"/>
  <cols>
    <col min="1" max="1" width="9.140625" style="2"/>
    <col min="2" max="2" width="6.7109375" style="2" bestFit="1" customWidth="1"/>
    <col min="3" max="3" width="14.85546875" style="2" bestFit="1" customWidth="1"/>
    <col min="4" max="4" width="18.42578125" style="2" bestFit="1" customWidth="1"/>
    <col min="5" max="5" width="12.140625" style="2" bestFit="1" customWidth="1"/>
    <col min="6" max="6" width="9.140625" style="2"/>
    <col min="7" max="7" width="18.140625" style="2" bestFit="1" customWidth="1"/>
    <col min="8" max="8" width="32.5703125" style="2" bestFit="1" customWidth="1"/>
    <col min="9" max="9" width="25.5703125" style="2" customWidth="1"/>
    <col min="10" max="10" width="8.5703125" style="2" bestFit="1" customWidth="1"/>
    <col min="11" max="11" width="14" style="2" bestFit="1" customWidth="1"/>
    <col min="12" max="12" width="21.42578125" style="2" bestFit="1" customWidth="1"/>
    <col min="13" max="13" width="23.7109375" style="2" bestFit="1" customWidth="1"/>
    <col min="14" max="14" width="28.140625" style="2" bestFit="1" customWidth="1"/>
    <col min="15" max="15" width="27.42578125" style="2" bestFit="1" customWidth="1"/>
    <col min="16" max="16" width="19.85546875" style="2" bestFit="1" customWidth="1"/>
    <col min="17" max="17" width="12.42578125" style="2" bestFit="1" customWidth="1"/>
    <col min="18" max="18" width="9.140625" style="2"/>
    <col min="19" max="19" width="23.7109375" style="2" bestFit="1" customWidth="1"/>
    <col min="20" max="20" width="27.42578125" style="2" bestFit="1" customWidth="1"/>
    <col min="21" max="21" width="28.140625" style="2" bestFit="1" customWidth="1"/>
    <col min="22" max="22" width="19.85546875" style="2" bestFit="1" customWidth="1"/>
    <col min="23" max="16384" width="9.140625" style="2"/>
  </cols>
  <sheetData>
    <row r="2" spans="2:17" x14ac:dyDescent="0.25">
      <c r="B2" s="4" t="s">
        <v>14</v>
      </c>
      <c r="C2" s="4" t="s">
        <v>15</v>
      </c>
      <c r="D2" s="4" t="s">
        <v>16</v>
      </c>
      <c r="E2" s="4" t="s">
        <v>17</v>
      </c>
      <c r="K2" s="2" t="s">
        <v>18</v>
      </c>
    </row>
    <row r="3" spans="2:17" x14ac:dyDescent="0.25">
      <c r="I3" s="2" t="s">
        <v>21</v>
      </c>
      <c r="J3" s="4" t="s">
        <v>2</v>
      </c>
      <c r="K3" s="2" t="s">
        <v>22</v>
      </c>
      <c r="L3" s="2" t="s">
        <v>23</v>
      </c>
      <c r="M3" s="2" t="s">
        <v>24</v>
      </c>
      <c r="N3" s="2" t="s">
        <v>25</v>
      </c>
      <c r="O3" s="2" t="s">
        <v>26</v>
      </c>
      <c r="P3" s="2" t="s">
        <v>27</v>
      </c>
    </row>
    <row r="4" spans="2:17" x14ac:dyDescent="0.25">
      <c r="H4" s="3">
        <v>690</v>
      </c>
      <c r="I4" s="2" t="e">
        <f t="shared" ref="I4:I9" si="0">_xlfn.NORM.DIST(E3,$C$6,$D$6,FALSE)</f>
        <v>#REF!</v>
      </c>
    </row>
    <row r="5" spans="2:17" x14ac:dyDescent="0.25">
      <c r="C5" s="2" t="s">
        <v>19</v>
      </c>
      <c r="D5" s="2" t="s">
        <v>20</v>
      </c>
      <c r="H5" s="3">
        <v>800</v>
      </c>
      <c r="I5" s="2" t="e">
        <f t="shared" si="0"/>
        <v>#REF!</v>
      </c>
    </row>
    <row r="6" spans="2:17" x14ac:dyDescent="0.25">
      <c r="C6" s="3" t="e">
        <f>AVERAGE(#REF!)</f>
        <v>#REF!</v>
      </c>
      <c r="D6" s="2" t="e">
        <f>STDEVA(#REF!)</f>
        <v>#REF!</v>
      </c>
      <c r="H6" s="3">
        <v>1112</v>
      </c>
      <c r="I6" s="2" t="e">
        <f t="shared" si="0"/>
        <v>#REF!</v>
      </c>
    </row>
    <row r="7" spans="2:17" x14ac:dyDescent="0.25">
      <c r="H7" s="3">
        <v>1404</v>
      </c>
      <c r="I7" s="2" t="e">
        <f t="shared" si="0"/>
        <v>#REF!</v>
      </c>
    </row>
    <row r="8" spans="2:17" x14ac:dyDescent="0.25">
      <c r="H8" s="3">
        <v>1460</v>
      </c>
      <c r="I8" s="2" t="e">
        <f t="shared" si="0"/>
        <v>#REF!</v>
      </c>
    </row>
    <row r="9" spans="2:17" x14ac:dyDescent="0.25">
      <c r="H9" s="3">
        <v>1783</v>
      </c>
      <c r="I9" s="2" t="e">
        <f t="shared" si="0"/>
        <v>#REF!</v>
      </c>
    </row>
    <row r="10" spans="2:17" x14ac:dyDescent="0.25">
      <c r="L10" s="5" t="s">
        <v>0</v>
      </c>
      <c r="M10" s="5" t="s">
        <v>29</v>
      </c>
      <c r="N10" s="5" t="s">
        <v>30</v>
      </c>
      <c r="O10" s="5" t="s">
        <v>31</v>
      </c>
      <c r="P10" s="5" t="s">
        <v>32</v>
      </c>
      <c r="Q10" s="5" t="s">
        <v>33</v>
      </c>
    </row>
    <row r="11" spans="2:17" x14ac:dyDescent="0.25">
      <c r="L11" s="2" t="s">
        <v>13</v>
      </c>
      <c r="M11" s="2" t="e">
        <f>SUMIF(#REF!,Operations!L11,#REF!)</f>
        <v>#REF!</v>
      </c>
      <c r="N11" s="2">
        <v>200</v>
      </c>
      <c r="O11" s="2">
        <v>14</v>
      </c>
      <c r="P11" s="6" t="e">
        <f>M11/N11</f>
        <v>#REF!</v>
      </c>
      <c r="Q11" s="6" t="e">
        <f>1-P11</f>
        <v>#REF!</v>
      </c>
    </row>
    <row r="12" spans="2:17" x14ac:dyDescent="0.25">
      <c r="L12" s="2" t="s">
        <v>12</v>
      </c>
      <c r="M12" s="2" t="e">
        <f>SUMIF(#REF!,Operations!L12,#REF!)</f>
        <v>#REF!</v>
      </c>
      <c r="N12" s="2">
        <v>650</v>
      </c>
      <c r="O12" s="2">
        <v>12</v>
      </c>
      <c r="P12" s="6" t="e">
        <f>M12/N12</f>
        <v>#REF!</v>
      </c>
      <c r="Q12" s="6" t="e">
        <f>1-P12</f>
        <v>#REF!</v>
      </c>
    </row>
    <row r="13" spans="2:17" x14ac:dyDescent="0.25">
      <c r="L13" s="2" t="s">
        <v>4</v>
      </c>
      <c r="M13" s="2" t="e">
        <f>SUMIF(#REF!,Operations!L13,#REF!)</f>
        <v>#REF!</v>
      </c>
      <c r="N13" s="2">
        <v>1110</v>
      </c>
      <c r="O13" s="2">
        <v>15.5</v>
      </c>
      <c r="P13" s="6" t="e">
        <f>M13/N13</f>
        <v>#REF!</v>
      </c>
      <c r="Q13" s="6" t="e">
        <f>1-P13</f>
        <v>#REF!</v>
      </c>
    </row>
    <row r="21" spans="2:6" x14ac:dyDescent="0.25">
      <c r="C21" s="5" t="s">
        <v>34</v>
      </c>
      <c r="D21" s="5" t="s">
        <v>35</v>
      </c>
      <c r="E21" s="5" t="s">
        <v>37</v>
      </c>
      <c r="F21" s="5" t="s">
        <v>30</v>
      </c>
    </row>
    <row r="22" spans="2:6" x14ac:dyDescent="0.25">
      <c r="B22" s="2" t="s">
        <v>38</v>
      </c>
      <c r="C22" s="2" t="e">
        <f>SUMIF(#REF!,Operations!L11,#REF!)</f>
        <v>#REF!</v>
      </c>
      <c r="D22" s="2" t="s">
        <v>39</v>
      </c>
      <c r="E22" s="2">
        <v>80</v>
      </c>
      <c r="F22" s="2">
        <v>200</v>
      </c>
    </row>
    <row r="23" spans="2:6" x14ac:dyDescent="0.25">
      <c r="D23" s="2" t="s">
        <v>36</v>
      </c>
      <c r="E23" s="2">
        <f>F22-E22</f>
        <v>120</v>
      </c>
    </row>
    <row r="24" spans="2:6" x14ac:dyDescent="0.25">
      <c r="D24" s="2" t="s">
        <v>1</v>
      </c>
      <c r="E24" s="2">
        <f>SUM(E22:E23)</f>
        <v>200</v>
      </c>
    </row>
    <row r="28" spans="2:6" ht="15.75" thickBot="1" x14ac:dyDescent="0.3">
      <c r="B28" s="7"/>
      <c r="C28" s="8" t="s">
        <v>40</v>
      </c>
    </row>
    <row r="29" spans="2:6" ht="15.75" thickTop="1" x14ac:dyDescent="0.25">
      <c r="B29" s="9" t="s">
        <v>41</v>
      </c>
      <c r="C29" s="10" t="e">
        <f>C22</f>
        <v>#REF!</v>
      </c>
    </row>
    <row r="30" spans="2:6" x14ac:dyDescent="0.25">
      <c r="B30" s="11" t="s">
        <v>42</v>
      </c>
      <c r="C30" s="12">
        <f>E24*0.015</f>
        <v>3</v>
      </c>
    </row>
    <row r="31" spans="2:6" x14ac:dyDescent="0.25">
      <c r="B31" s="13" t="s">
        <v>43</v>
      </c>
      <c r="C31" s="14" t="e">
        <f>SUM(E22:E24)-SUM(C29:C30)</f>
        <v>#REF!</v>
      </c>
    </row>
  </sheetData>
  <sortState xmlns:xlrd2="http://schemas.microsoft.com/office/spreadsheetml/2017/richdata2" ref="U2:U137">
    <sortCondition ref="U2:U137"/>
  </sortState>
  <conditionalFormatting sqref="H6:H9">
    <cfRule type="notContainsBlanks" dxfId="9" priority="3">
      <formula>LEN(TRIM(H6))&gt;0</formula>
    </cfRule>
    <cfRule type="containsBlanks" dxfId="8" priority="4">
      <formula>LEN(TRIM(H6))=0</formula>
    </cfRule>
  </conditionalFormatting>
  <conditionalFormatting sqref="J3">
    <cfRule type="notContainsBlanks" dxfId="7" priority="5">
      <formula>LEN(TRIM(J3))&gt;0</formula>
    </cfRule>
    <cfRule type="containsBlanks" dxfId="6" priority="6">
      <formula>LEN(TRIM(J3))=0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0DCC9-F19D-4BA9-BCB6-121B10368158}">
  <sheetPr codeName="Sheet5"/>
  <dimension ref="B1:AA137"/>
  <sheetViews>
    <sheetView topLeftCell="P1" zoomScale="85" zoomScaleNormal="85" workbookViewId="0">
      <selection activeCell="U2" sqref="U2"/>
    </sheetView>
  </sheetViews>
  <sheetFormatPr defaultRowHeight="15" x14ac:dyDescent="0.25"/>
  <cols>
    <col min="1" max="1" width="9.140625" style="2"/>
    <col min="2" max="2" width="6.7109375" style="2" bestFit="1" customWidth="1"/>
    <col min="3" max="3" width="14.85546875" style="2" bestFit="1" customWidth="1"/>
    <col min="4" max="4" width="18.42578125" style="2" bestFit="1" customWidth="1"/>
    <col min="5" max="5" width="12.140625" style="2" bestFit="1" customWidth="1"/>
    <col min="6" max="6" width="9.140625" style="2"/>
    <col min="7" max="7" width="18.140625" style="2" bestFit="1" customWidth="1"/>
    <col min="8" max="8" width="32.5703125" style="2" bestFit="1" customWidth="1"/>
    <col min="9" max="9" width="25.5703125" style="2" customWidth="1"/>
    <col min="10" max="10" width="8.5703125" style="2" bestFit="1" customWidth="1"/>
    <col min="11" max="11" width="14" style="2" bestFit="1" customWidth="1"/>
    <col min="12" max="12" width="21.42578125" style="2" bestFit="1" customWidth="1"/>
    <col min="13" max="13" width="23.7109375" style="2" bestFit="1" customWidth="1"/>
    <col min="14" max="14" width="28.140625" style="2" bestFit="1" customWidth="1"/>
    <col min="15" max="15" width="27.42578125" style="2" bestFit="1" customWidth="1"/>
    <col min="16" max="16" width="19.85546875" style="2" bestFit="1" customWidth="1"/>
    <col min="17" max="17" width="12.42578125" style="2" bestFit="1" customWidth="1"/>
    <col min="18" max="18" width="9.140625" style="2"/>
    <col min="19" max="19" width="23.7109375" style="2" bestFit="1" customWidth="1"/>
    <col min="20" max="20" width="27.42578125" style="2" bestFit="1" customWidth="1"/>
    <col min="21" max="21" width="28.140625" style="2" bestFit="1" customWidth="1"/>
    <col min="22" max="22" width="19.85546875" style="2" bestFit="1" customWidth="1"/>
    <col min="23" max="23" width="9.140625" style="2"/>
    <col min="24" max="24" width="23.7109375" style="2" bestFit="1" customWidth="1"/>
    <col min="25" max="25" width="27.42578125" style="2" bestFit="1" customWidth="1"/>
    <col min="26" max="26" width="28.140625" style="2" bestFit="1" customWidth="1"/>
    <col min="27" max="27" width="19.85546875" style="2" bestFit="1" customWidth="1"/>
    <col min="28" max="16384" width="9.140625" style="2"/>
  </cols>
  <sheetData>
    <row r="1" spans="2:27" x14ac:dyDescent="0.25">
      <c r="S1" s="2" t="s">
        <v>44</v>
      </c>
      <c r="T1" s="2" t="s">
        <v>46</v>
      </c>
      <c r="U1" s="2" t="s">
        <v>45</v>
      </c>
      <c r="V1" s="2" t="s">
        <v>21</v>
      </c>
      <c r="X1" s="2" t="s">
        <v>44</v>
      </c>
      <c r="Y1" s="2" t="s">
        <v>46</v>
      </c>
      <c r="Z1" s="2" t="e" cm="1">
        <f t="array" ref="Z1">#REF!*24</f>
        <v>#REF!</v>
      </c>
      <c r="AA1" s="2" t="s">
        <v>21</v>
      </c>
    </row>
    <row r="2" spans="2:27" x14ac:dyDescent="0.25">
      <c r="B2" s="4" t="s">
        <v>14</v>
      </c>
      <c r="C2" s="4" t="s">
        <v>15</v>
      </c>
      <c r="D2" s="4" t="s">
        <v>16</v>
      </c>
      <c r="E2" s="4" t="s">
        <v>17</v>
      </c>
      <c r="K2" s="2" t="s">
        <v>18</v>
      </c>
      <c r="S2" s="2" t="e">
        <f>AVERAGE(U2:U137)</f>
        <v>#REF!</v>
      </c>
      <c r="T2" s="2" t="e">
        <f>STDEV(U2:U137)</f>
        <v>#REF!</v>
      </c>
      <c r="U2" s="2" t="e">
        <f>#REF!*24</f>
        <v>#REF!</v>
      </c>
      <c r="V2" s="2" t="e">
        <f t="shared" ref="V2:V33" si="0">_xlfn.NORM.DIST(U2,$S$2,$T$2,FALSE)</f>
        <v>#REF!</v>
      </c>
      <c r="X2" s="2" t="e">
        <f>AVERAGE(Z2:Z101)</f>
        <v>#DIV/0!</v>
      </c>
      <c r="Y2" s="2" t="e">
        <f>STDEV(Z2:Z1048576)</f>
        <v>#DIV/0!</v>
      </c>
    </row>
    <row r="3" spans="2:27" x14ac:dyDescent="0.25">
      <c r="I3" s="2" t="s">
        <v>21</v>
      </c>
      <c r="J3" s="4" t="s">
        <v>2</v>
      </c>
      <c r="K3" s="2" t="s">
        <v>22</v>
      </c>
      <c r="L3" s="2" t="s">
        <v>23</v>
      </c>
      <c r="M3" s="2" t="s">
        <v>24</v>
      </c>
      <c r="N3" s="2" t="s">
        <v>25</v>
      </c>
      <c r="O3" s="2" t="s">
        <v>26</v>
      </c>
      <c r="P3" s="2" t="s">
        <v>27</v>
      </c>
      <c r="U3" s="2" t="e">
        <f>#REF!*24</f>
        <v>#REF!</v>
      </c>
      <c r="V3" s="2" t="e">
        <f t="shared" si="0"/>
        <v>#REF!</v>
      </c>
    </row>
    <row r="4" spans="2:27" x14ac:dyDescent="0.25">
      <c r="H4" s="3">
        <v>690</v>
      </c>
      <c r="I4" s="2" t="e">
        <f t="shared" ref="I4:I9" si="1">_xlfn.NORM.DIST(E3,$C$6,$D$6,FALSE)</f>
        <v>#REF!</v>
      </c>
      <c r="U4" s="2" t="e">
        <f>#REF!*24</f>
        <v>#REF!</v>
      </c>
      <c r="V4" s="2" t="e">
        <f t="shared" si="0"/>
        <v>#REF!</v>
      </c>
    </row>
    <row r="5" spans="2:27" x14ac:dyDescent="0.25">
      <c r="C5" s="2" t="s">
        <v>19</v>
      </c>
      <c r="D5" s="2" t="s">
        <v>20</v>
      </c>
      <c r="H5" s="3">
        <v>800</v>
      </c>
      <c r="I5" s="2" t="e">
        <f t="shared" si="1"/>
        <v>#REF!</v>
      </c>
      <c r="U5" s="2" t="e">
        <f>#REF!*24</f>
        <v>#REF!</v>
      </c>
      <c r="V5" s="2" t="e">
        <f t="shared" si="0"/>
        <v>#REF!</v>
      </c>
    </row>
    <row r="6" spans="2:27" x14ac:dyDescent="0.25">
      <c r="C6" s="3" t="e">
        <f>AVERAGE(#REF!)</f>
        <v>#REF!</v>
      </c>
      <c r="D6" s="2" t="e">
        <f>STDEVA(#REF!)</f>
        <v>#REF!</v>
      </c>
      <c r="H6" s="3">
        <v>1112</v>
      </c>
      <c r="I6" s="2" t="e">
        <f t="shared" si="1"/>
        <v>#REF!</v>
      </c>
      <c r="U6" s="2" t="e">
        <f>#REF!*24</f>
        <v>#REF!</v>
      </c>
      <c r="V6" s="2" t="e">
        <f t="shared" si="0"/>
        <v>#REF!</v>
      </c>
    </row>
    <row r="7" spans="2:27" x14ac:dyDescent="0.25">
      <c r="H7" s="3">
        <v>1404</v>
      </c>
      <c r="I7" s="2" t="e">
        <f t="shared" si="1"/>
        <v>#REF!</v>
      </c>
      <c r="U7" s="2" t="e">
        <f>#REF!*24</f>
        <v>#REF!</v>
      </c>
      <c r="V7" s="2" t="e">
        <f t="shared" si="0"/>
        <v>#REF!</v>
      </c>
    </row>
    <row r="8" spans="2:27" x14ac:dyDescent="0.25">
      <c r="H8" s="3">
        <v>1460</v>
      </c>
      <c r="I8" s="2" t="e">
        <f t="shared" si="1"/>
        <v>#REF!</v>
      </c>
      <c r="U8" s="2" t="e">
        <f>#REF!*24</f>
        <v>#REF!</v>
      </c>
      <c r="V8" s="2" t="e">
        <f t="shared" si="0"/>
        <v>#REF!</v>
      </c>
    </row>
    <row r="9" spans="2:27" x14ac:dyDescent="0.25">
      <c r="H9" s="3">
        <v>1783</v>
      </c>
      <c r="I9" s="2" t="e">
        <f t="shared" si="1"/>
        <v>#REF!</v>
      </c>
      <c r="U9" s="2" t="e">
        <f>#REF!*24</f>
        <v>#REF!</v>
      </c>
      <c r="V9" s="2" t="e">
        <f t="shared" si="0"/>
        <v>#REF!</v>
      </c>
    </row>
    <row r="10" spans="2:27" x14ac:dyDescent="0.25">
      <c r="L10" s="5" t="s">
        <v>0</v>
      </c>
      <c r="M10" s="5" t="s">
        <v>29</v>
      </c>
      <c r="N10" s="5" t="s">
        <v>30</v>
      </c>
      <c r="O10" s="5" t="s">
        <v>31</v>
      </c>
      <c r="P10" s="5" t="s">
        <v>32</v>
      </c>
      <c r="Q10" s="5" t="s">
        <v>33</v>
      </c>
      <c r="U10" s="2" t="e">
        <f>#REF!*24</f>
        <v>#REF!</v>
      </c>
      <c r="V10" s="2" t="e">
        <f t="shared" si="0"/>
        <v>#REF!</v>
      </c>
    </row>
    <row r="11" spans="2:27" x14ac:dyDescent="0.25">
      <c r="L11" s="2" t="s">
        <v>13</v>
      </c>
      <c r="M11" s="2" t="e">
        <f>SUMIF(#REF!,'Operations Calcs'!L11,#REF!)</f>
        <v>#REF!</v>
      </c>
      <c r="N11" s="2">
        <v>200</v>
      </c>
      <c r="O11" s="2">
        <v>14</v>
      </c>
      <c r="P11" s="6" t="e">
        <f>M11/N11</f>
        <v>#REF!</v>
      </c>
      <c r="Q11" s="6" t="e">
        <f>1-P11</f>
        <v>#REF!</v>
      </c>
      <c r="U11" s="2" t="e">
        <f>#REF!*24</f>
        <v>#REF!</v>
      </c>
      <c r="V11" s="2" t="e">
        <f t="shared" si="0"/>
        <v>#REF!</v>
      </c>
    </row>
    <row r="12" spans="2:27" x14ac:dyDescent="0.25">
      <c r="L12" s="2" t="s">
        <v>12</v>
      </c>
      <c r="M12" s="2" t="e">
        <f>SUMIF(#REF!,'Operations Calcs'!L12,#REF!)</f>
        <v>#REF!</v>
      </c>
      <c r="N12" s="2">
        <v>650</v>
      </c>
      <c r="O12" s="2">
        <v>12</v>
      </c>
      <c r="P12" s="6" t="e">
        <f>M12/N12</f>
        <v>#REF!</v>
      </c>
      <c r="Q12" s="6" t="e">
        <f>1-P12</f>
        <v>#REF!</v>
      </c>
      <c r="U12" s="2" t="e">
        <f>#REF!*24</f>
        <v>#REF!</v>
      </c>
      <c r="V12" s="2" t="e">
        <f t="shared" si="0"/>
        <v>#REF!</v>
      </c>
    </row>
    <row r="13" spans="2:27" x14ac:dyDescent="0.25">
      <c r="I13" s="2" t="s">
        <v>28</v>
      </c>
      <c r="L13" s="2" t="s">
        <v>4</v>
      </c>
      <c r="M13" s="2" t="e">
        <f>SUMIF(#REF!,'Operations Calcs'!L13,#REF!)</f>
        <v>#REF!</v>
      </c>
      <c r="N13" s="2">
        <v>1110</v>
      </c>
      <c r="O13" s="2">
        <v>15.5</v>
      </c>
      <c r="P13" s="6" t="e">
        <f>M13/N13</f>
        <v>#REF!</v>
      </c>
      <c r="Q13" s="6" t="e">
        <f>1-P13</f>
        <v>#REF!</v>
      </c>
      <c r="U13" s="2" t="e">
        <f>#REF!*24</f>
        <v>#REF!</v>
      </c>
      <c r="V13" s="2" t="e">
        <f t="shared" si="0"/>
        <v>#REF!</v>
      </c>
    </row>
    <row r="14" spans="2:27" x14ac:dyDescent="0.25">
      <c r="H14" s="2" t="s">
        <v>9</v>
      </c>
      <c r="I14" s="3">
        <v>784</v>
      </c>
      <c r="U14" s="2" t="e">
        <f>#REF!*24</f>
        <v>#REF!</v>
      </c>
      <c r="V14" s="2" t="e">
        <f t="shared" si="0"/>
        <v>#REF!</v>
      </c>
    </row>
    <row r="15" spans="2:27" x14ac:dyDescent="0.25">
      <c r="H15" s="2" t="s">
        <v>8</v>
      </c>
      <c r="I15" s="3">
        <v>845</v>
      </c>
      <c r="U15" s="2" t="e">
        <f>#REF!*24</f>
        <v>#REF!</v>
      </c>
      <c r="V15" s="2" t="e">
        <f t="shared" si="0"/>
        <v>#REF!</v>
      </c>
    </row>
    <row r="16" spans="2:27" x14ac:dyDescent="0.25">
      <c r="H16" s="2" t="s">
        <v>3</v>
      </c>
      <c r="I16" s="3">
        <v>999</v>
      </c>
      <c r="U16" s="2" t="e">
        <f>#REF!*24</f>
        <v>#REF!</v>
      </c>
      <c r="V16" s="2" t="e">
        <f t="shared" si="0"/>
        <v>#REF!</v>
      </c>
    </row>
    <row r="17" spans="2:22" x14ac:dyDescent="0.25">
      <c r="H17" s="2" t="s">
        <v>10</v>
      </c>
      <c r="I17" s="3">
        <v>1042</v>
      </c>
      <c r="U17" s="2" t="e">
        <f>#REF!*24</f>
        <v>#REF!</v>
      </c>
      <c r="V17" s="2" t="e">
        <f t="shared" si="0"/>
        <v>#REF!</v>
      </c>
    </row>
    <row r="18" spans="2:22" x14ac:dyDescent="0.25">
      <c r="H18" s="2" t="s">
        <v>11</v>
      </c>
      <c r="I18" s="3">
        <v>1064</v>
      </c>
      <c r="U18" s="2" t="e">
        <f>#REF!*24</f>
        <v>#REF!</v>
      </c>
      <c r="V18" s="2" t="e">
        <f t="shared" si="0"/>
        <v>#REF!</v>
      </c>
    </row>
    <row r="19" spans="2:22" x14ac:dyDescent="0.25">
      <c r="H19" s="2" t="s">
        <v>7</v>
      </c>
      <c r="I19" s="3">
        <v>1069</v>
      </c>
      <c r="U19" s="2" t="e">
        <f>#REF!*24</f>
        <v>#REF!</v>
      </c>
      <c r="V19" s="2" t="e">
        <f t="shared" si="0"/>
        <v>#REF!</v>
      </c>
    </row>
    <row r="20" spans="2:22" x14ac:dyDescent="0.25">
      <c r="U20" s="2" t="e">
        <f>#REF!*24</f>
        <v>#REF!</v>
      </c>
      <c r="V20" s="2" t="e">
        <f t="shared" si="0"/>
        <v>#REF!</v>
      </c>
    </row>
    <row r="21" spans="2:22" x14ac:dyDescent="0.25">
      <c r="C21" s="5" t="s">
        <v>34</v>
      </c>
      <c r="D21" s="5" t="s">
        <v>35</v>
      </c>
      <c r="E21" s="5" t="s">
        <v>37</v>
      </c>
      <c r="F21" s="5" t="s">
        <v>30</v>
      </c>
      <c r="U21" s="2" t="e">
        <f>#REF!*24</f>
        <v>#REF!</v>
      </c>
      <c r="V21" s="2" t="e">
        <f t="shared" si="0"/>
        <v>#REF!</v>
      </c>
    </row>
    <row r="22" spans="2:22" x14ac:dyDescent="0.25">
      <c r="B22" s="2" t="s">
        <v>38</v>
      </c>
      <c r="C22" s="2" t="e">
        <f>SUMIF(#REF!,'Operations Calcs'!L11,#REF!)</f>
        <v>#REF!</v>
      </c>
      <c r="D22" s="2" t="s">
        <v>39</v>
      </c>
      <c r="E22" s="2">
        <v>80</v>
      </c>
      <c r="F22" s="2">
        <v>200</v>
      </c>
      <c r="U22" s="2" t="e">
        <f>#REF!*24</f>
        <v>#REF!</v>
      </c>
      <c r="V22" s="2" t="e">
        <f t="shared" si="0"/>
        <v>#REF!</v>
      </c>
    </row>
    <row r="23" spans="2:22" x14ac:dyDescent="0.25">
      <c r="D23" s="2" t="s">
        <v>36</v>
      </c>
      <c r="E23" s="2">
        <f>F22-E22</f>
        <v>120</v>
      </c>
      <c r="U23" s="2" t="e">
        <f>#REF!*24</f>
        <v>#REF!</v>
      </c>
      <c r="V23" s="2" t="e">
        <f t="shared" si="0"/>
        <v>#REF!</v>
      </c>
    </row>
    <row r="24" spans="2:22" x14ac:dyDescent="0.25">
      <c r="D24" s="2" t="s">
        <v>1</v>
      </c>
      <c r="E24" s="2">
        <f>SUM(E22:E23)</f>
        <v>200</v>
      </c>
      <c r="U24" s="2" t="e">
        <f>#REF!*24</f>
        <v>#REF!</v>
      </c>
      <c r="V24" s="2" t="e">
        <f t="shared" si="0"/>
        <v>#REF!</v>
      </c>
    </row>
    <row r="25" spans="2:22" x14ac:dyDescent="0.25">
      <c r="U25" s="2" t="e">
        <f>#REF!*24</f>
        <v>#REF!</v>
      </c>
      <c r="V25" s="2" t="e">
        <f t="shared" si="0"/>
        <v>#REF!</v>
      </c>
    </row>
    <row r="26" spans="2:22" x14ac:dyDescent="0.25">
      <c r="U26" s="2" t="e">
        <f>#REF!*24</f>
        <v>#REF!</v>
      </c>
      <c r="V26" s="2" t="e">
        <f t="shared" si="0"/>
        <v>#REF!</v>
      </c>
    </row>
    <row r="27" spans="2:22" x14ac:dyDescent="0.25">
      <c r="U27" s="2" t="e">
        <f>#REF!*24</f>
        <v>#REF!</v>
      </c>
      <c r="V27" s="2" t="e">
        <f t="shared" si="0"/>
        <v>#REF!</v>
      </c>
    </row>
    <row r="28" spans="2:22" ht="15.75" thickBot="1" x14ac:dyDescent="0.3">
      <c r="B28" s="7"/>
      <c r="C28" s="8" t="s">
        <v>40</v>
      </c>
      <c r="U28" s="2" t="e">
        <f>#REF!*24</f>
        <v>#REF!</v>
      </c>
      <c r="V28" s="2" t="e">
        <f t="shared" si="0"/>
        <v>#REF!</v>
      </c>
    </row>
    <row r="29" spans="2:22" ht="15.75" thickTop="1" x14ac:dyDescent="0.25">
      <c r="B29" s="9" t="s">
        <v>41</v>
      </c>
      <c r="C29" s="10" t="e">
        <f>C22</f>
        <v>#REF!</v>
      </c>
      <c r="U29" s="2" t="e">
        <f>#REF!*24</f>
        <v>#REF!</v>
      </c>
      <c r="V29" s="2" t="e">
        <f t="shared" si="0"/>
        <v>#REF!</v>
      </c>
    </row>
    <row r="30" spans="2:22" x14ac:dyDescent="0.25">
      <c r="B30" s="11" t="s">
        <v>42</v>
      </c>
      <c r="C30" s="12">
        <f>E24*0.015</f>
        <v>3</v>
      </c>
      <c r="U30" s="2" t="e">
        <f>#REF!*24</f>
        <v>#REF!</v>
      </c>
      <c r="V30" s="2" t="e">
        <f t="shared" si="0"/>
        <v>#REF!</v>
      </c>
    </row>
    <row r="31" spans="2:22" x14ac:dyDescent="0.25">
      <c r="B31" s="13" t="s">
        <v>43</v>
      </c>
      <c r="C31" s="14" t="e">
        <f>SUM(E22:E24)-SUM(C29:C30)</f>
        <v>#REF!</v>
      </c>
      <c r="U31" s="2" t="e">
        <f>#REF!*24</f>
        <v>#REF!</v>
      </c>
      <c r="V31" s="2" t="e">
        <f t="shared" si="0"/>
        <v>#REF!</v>
      </c>
    </row>
    <row r="32" spans="2:22" x14ac:dyDescent="0.25">
      <c r="U32" s="2" t="e">
        <f>#REF!*24</f>
        <v>#REF!</v>
      </c>
      <c r="V32" s="2" t="e">
        <f t="shared" si="0"/>
        <v>#REF!</v>
      </c>
    </row>
    <row r="33" spans="21:22" x14ac:dyDescent="0.25">
      <c r="U33" s="2" t="e">
        <f>#REF!*24</f>
        <v>#REF!</v>
      </c>
      <c r="V33" s="2" t="e">
        <f t="shared" si="0"/>
        <v>#REF!</v>
      </c>
    </row>
    <row r="34" spans="21:22" x14ac:dyDescent="0.25">
      <c r="U34" s="2" t="e">
        <f>#REF!*24</f>
        <v>#REF!</v>
      </c>
      <c r="V34" s="2" t="e">
        <f t="shared" ref="V34:V65" si="2">_xlfn.NORM.DIST(U34,$S$2,$T$2,FALSE)</f>
        <v>#REF!</v>
      </c>
    </row>
    <row r="35" spans="21:22" x14ac:dyDescent="0.25">
      <c r="U35" s="2" t="e">
        <f>#REF!*24</f>
        <v>#REF!</v>
      </c>
      <c r="V35" s="2" t="e">
        <f t="shared" si="2"/>
        <v>#REF!</v>
      </c>
    </row>
    <row r="36" spans="21:22" x14ac:dyDescent="0.25">
      <c r="U36" s="2" t="e">
        <f>#REF!*24</f>
        <v>#REF!</v>
      </c>
      <c r="V36" s="2" t="e">
        <f t="shared" si="2"/>
        <v>#REF!</v>
      </c>
    </row>
    <row r="37" spans="21:22" x14ac:dyDescent="0.25">
      <c r="U37" s="2" t="e">
        <f>#REF!*24</f>
        <v>#REF!</v>
      </c>
      <c r="V37" s="2" t="e">
        <f t="shared" si="2"/>
        <v>#REF!</v>
      </c>
    </row>
    <row r="38" spans="21:22" x14ac:dyDescent="0.25">
      <c r="U38" s="2" t="e">
        <f>#REF!*24</f>
        <v>#REF!</v>
      </c>
      <c r="V38" s="2" t="e">
        <f t="shared" si="2"/>
        <v>#REF!</v>
      </c>
    </row>
    <row r="39" spans="21:22" x14ac:dyDescent="0.25">
      <c r="U39" s="2" t="e">
        <f>#REF!*24</f>
        <v>#REF!</v>
      </c>
      <c r="V39" s="2" t="e">
        <f t="shared" si="2"/>
        <v>#REF!</v>
      </c>
    </row>
    <row r="40" spans="21:22" x14ac:dyDescent="0.25">
      <c r="U40" s="2" t="e">
        <f>#REF!*24</f>
        <v>#REF!</v>
      </c>
      <c r="V40" s="2" t="e">
        <f t="shared" si="2"/>
        <v>#REF!</v>
      </c>
    </row>
    <row r="41" spans="21:22" x14ac:dyDescent="0.25">
      <c r="U41" s="2" t="e">
        <f>#REF!*24</f>
        <v>#REF!</v>
      </c>
      <c r="V41" s="2" t="e">
        <f t="shared" si="2"/>
        <v>#REF!</v>
      </c>
    </row>
    <row r="42" spans="21:22" x14ac:dyDescent="0.25">
      <c r="U42" s="2" t="e">
        <f>#REF!*24</f>
        <v>#REF!</v>
      </c>
      <c r="V42" s="2" t="e">
        <f t="shared" si="2"/>
        <v>#REF!</v>
      </c>
    </row>
    <row r="43" spans="21:22" x14ac:dyDescent="0.25">
      <c r="U43" s="2" t="e">
        <f>#REF!*24</f>
        <v>#REF!</v>
      </c>
      <c r="V43" s="2" t="e">
        <f t="shared" si="2"/>
        <v>#REF!</v>
      </c>
    </row>
    <row r="44" spans="21:22" x14ac:dyDescent="0.25">
      <c r="U44" s="2" t="e">
        <f>#REF!*24</f>
        <v>#REF!</v>
      </c>
      <c r="V44" s="2" t="e">
        <f t="shared" si="2"/>
        <v>#REF!</v>
      </c>
    </row>
    <row r="45" spans="21:22" x14ac:dyDescent="0.25">
      <c r="U45" s="2" t="e">
        <f>#REF!*24</f>
        <v>#REF!</v>
      </c>
      <c r="V45" s="2" t="e">
        <f t="shared" si="2"/>
        <v>#REF!</v>
      </c>
    </row>
    <row r="46" spans="21:22" x14ac:dyDescent="0.25">
      <c r="U46" s="2" t="e">
        <f>#REF!*24</f>
        <v>#REF!</v>
      </c>
      <c r="V46" s="2" t="e">
        <f t="shared" si="2"/>
        <v>#REF!</v>
      </c>
    </row>
    <row r="47" spans="21:22" x14ac:dyDescent="0.25">
      <c r="U47" s="2" t="e">
        <f>#REF!*24</f>
        <v>#REF!</v>
      </c>
      <c r="V47" s="2" t="e">
        <f t="shared" si="2"/>
        <v>#REF!</v>
      </c>
    </row>
    <row r="48" spans="21:22" x14ac:dyDescent="0.25">
      <c r="U48" s="2" t="e">
        <f>#REF!*24</f>
        <v>#REF!</v>
      </c>
      <c r="V48" s="2" t="e">
        <f t="shared" si="2"/>
        <v>#REF!</v>
      </c>
    </row>
    <row r="49" spans="21:22" x14ac:dyDescent="0.25">
      <c r="U49" s="2" t="e">
        <f>#REF!*24</f>
        <v>#REF!</v>
      </c>
      <c r="V49" s="2" t="e">
        <f t="shared" si="2"/>
        <v>#REF!</v>
      </c>
    </row>
    <row r="50" spans="21:22" x14ac:dyDescent="0.25">
      <c r="U50" s="2" t="e">
        <f>#REF!*24</f>
        <v>#REF!</v>
      </c>
      <c r="V50" s="2" t="e">
        <f t="shared" si="2"/>
        <v>#REF!</v>
      </c>
    </row>
    <row r="51" spans="21:22" x14ac:dyDescent="0.25">
      <c r="U51" s="2" t="e">
        <f>#REF!*24</f>
        <v>#REF!</v>
      </c>
      <c r="V51" s="2" t="e">
        <f t="shared" si="2"/>
        <v>#REF!</v>
      </c>
    </row>
    <row r="52" spans="21:22" x14ac:dyDescent="0.25">
      <c r="U52" s="2" t="e">
        <f>#REF!*24</f>
        <v>#REF!</v>
      </c>
      <c r="V52" s="2" t="e">
        <f t="shared" si="2"/>
        <v>#REF!</v>
      </c>
    </row>
    <row r="53" spans="21:22" x14ac:dyDescent="0.25">
      <c r="U53" s="2" t="e">
        <f>#REF!*24</f>
        <v>#REF!</v>
      </c>
      <c r="V53" s="2" t="e">
        <f t="shared" si="2"/>
        <v>#REF!</v>
      </c>
    </row>
    <row r="54" spans="21:22" x14ac:dyDescent="0.25">
      <c r="U54" s="2" t="e">
        <f>#REF!*24</f>
        <v>#REF!</v>
      </c>
      <c r="V54" s="2" t="e">
        <f t="shared" si="2"/>
        <v>#REF!</v>
      </c>
    </row>
    <row r="55" spans="21:22" x14ac:dyDescent="0.25">
      <c r="U55" s="2" t="e">
        <f>#REF!*24</f>
        <v>#REF!</v>
      </c>
      <c r="V55" s="2" t="e">
        <f t="shared" si="2"/>
        <v>#REF!</v>
      </c>
    </row>
    <row r="56" spans="21:22" x14ac:dyDescent="0.25">
      <c r="U56" s="2" t="e">
        <f>#REF!*24</f>
        <v>#REF!</v>
      </c>
      <c r="V56" s="2" t="e">
        <f t="shared" si="2"/>
        <v>#REF!</v>
      </c>
    </row>
    <row r="57" spans="21:22" x14ac:dyDescent="0.25">
      <c r="U57" s="2" t="e">
        <f>#REF!*24</f>
        <v>#REF!</v>
      </c>
      <c r="V57" s="2" t="e">
        <f t="shared" si="2"/>
        <v>#REF!</v>
      </c>
    </row>
    <row r="58" spans="21:22" x14ac:dyDescent="0.25">
      <c r="U58" s="2" t="e">
        <f>#REF!*24</f>
        <v>#REF!</v>
      </c>
      <c r="V58" s="2" t="e">
        <f t="shared" si="2"/>
        <v>#REF!</v>
      </c>
    </row>
    <row r="59" spans="21:22" x14ac:dyDescent="0.25">
      <c r="U59" s="2" t="e">
        <f>#REF!*24</f>
        <v>#REF!</v>
      </c>
      <c r="V59" s="2" t="e">
        <f t="shared" si="2"/>
        <v>#REF!</v>
      </c>
    </row>
    <row r="60" spans="21:22" x14ac:dyDescent="0.25">
      <c r="U60" s="2" t="e">
        <f>#REF!*24</f>
        <v>#REF!</v>
      </c>
      <c r="V60" s="2" t="e">
        <f t="shared" si="2"/>
        <v>#REF!</v>
      </c>
    </row>
    <row r="61" spans="21:22" x14ac:dyDescent="0.25">
      <c r="U61" s="2" t="e">
        <f>#REF!*24</f>
        <v>#REF!</v>
      </c>
      <c r="V61" s="2" t="e">
        <f t="shared" si="2"/>
        <v>#REF!</v>
      </c>
    </row>
    <row r="62" spans="21:22" x14ac:dyDescent="0.25">
      <c r="U62" s="2" t="e">
        <f>#REF!*24</f>
        <v>#REF!</v>
      </c>
      <c r="V62" s="2" t="e">
        <f t="shared" si="2"/>
        <v>#REF!</v>
      </c>
    </row>
    <row r="63" spans="21:22" x14ac:dyDescent="0.25">
      <c r="U63" s="2" t="e">
        <f>#REF!*24</f>
        <v>#REF!</v>
      </c>
      <c r="V63" s="2" t="e">
        <f t="shared" si="2"/>
        <v>#REF!</v>
      </c>
    </row>
    <row r="64" spans="21:22" x14ac:dyDescent="0.25">
      <c r="U64" s="2" t="e">
        <f>#REF!*24</f>
        <v>#REF!</v>
      </c>
      <c r="V64" s="2" t="e">
        <f t="shared" si="2"/>
        <v>#REF!</v>
      </c>
    </row>
    <row r="65" spans="21:22" x14ac:dyDescent="0.25">
      <c r="U65" s="2" t="e">
        <f>#REF!*24</f>
        <v>#REF!</v>
      </c>
      <c r="V65" s="2" t="e">
        <f t="shared" si="2"/>
        <v>#REF!</v>
      </c>
    </row>
    <row r="66" spans="21:22" x14ac:dyDescent="0.25">
      <c r="U66" s="2" t="e">
        <f>#REF!*24</f>
        <v>#REF!</v>
      </c>
      <c r="V66" s="2" t="e">
        <f t="shared" ref="V66:V97" si="3">_xlfn.NORM.DIST(U66,$S$2,$T$2,FALSE)</f>
        <v>#REF!</v>
      </c>
    </row>
    <row r="67" spans="21:22" x14ac:dyDescent="0.25">
      <c r="U67" s="2" t="e">
        <f>#REF!*24</f>
        <v>#REF!</v>
      </c>
      <c r="V67" s="2" t="e">
        <f t="shared" si="3"/>
        <v>#REF!</v>
      </c>
    </row>
    <row r="68" spans="21:22" x14ac:dyDescent="0.25">
      <c r="U68" s="2" t="e">
        <f>#REF!*24</f>
        <v>#REF!</v>
      </c>
      <c r="V68" s="2" t="e">
        <f t="shared" si="3"/>
        <v>#REF!</v>
      </c>
    </row>
    <row r="69" spans="21:22" x14ac:dyDescent="0.25">
      <c r="U69" s="2" t="e">
        <f>#REF!*24</f>
        <v>#REF!</v>
      </c>
      <c r="V69" s="2" t="e">
        <f t="shared" si="3"/>
        <v>#REF!</v>
      </c>
    </row>
    <row r="70" spans="21:22" x14ac:dyDescent="0.25">
      <c r="U70" s="2" t="e">
        <f>#REF!*24</f>
        <v>#REF!</v>
      </c>
      <c r="V70" s="2" t="e">
        <f t="shared" si="3"/>
        <v>#REF!</v>
      </c>
    </row>
    <row r="71" spans="21:22" x14ac:dyDescent="0.25">
      <c r="U71" s="2" t="e">
        <f>#REF!*24</f>
        <v>#REF!</v>
      </c>
      <c r="V71" s="2" t="e">
        <f t="shared" si="3"/>
        <v>#REF!</v>
      </c>
    </row>
    <row r="72" spans="21:22" x14ac:dyDescent="0.25">
      <c r="U72" s="2" t="e">
        <f>#REF!*24</f>
        <v>#REF!</v>
      </c>
      <c r="V72" s="2" t="e">
        <f t="shared" si="3"/>
        <v>#REF!</v>
      </c>
    </row>
    <row r="73" spans="21:22" x14ac:dyDescent="0.25">
      <c r="U73" s="2" t="e">
        <f>#REF!*24</f>
        <v>#REF!</v>
      </c>
      <c r="V73" s="2" t="e">
        <f t="shared" si="3"/>
        <v>#REF!</v>
      </c>
    </row>
    <row r="74" spans="21:22" x14ac:dyDescent="0.25">
      <c r="U74" s="2" t="e">
        <f>#REF!*24</f>
        <v>#REF!</v>
      </c>
      <c r="V74" s="2" t="e">
        <f t="shared" si="3"/>
        <v>#REF!</v>
      </c>
    </row>
    <row r="75" spans="21:22" x14ac:dyDescent="0.25">
      <c r="U75" s="2" t="e">
        <f>#REF!*24</f>
        <v>#REF!</v>
      </c>
      <c r="V75" s="2" t="e">
        <f t="shared" si="3"/>
        <v>#REF!</v>
      </c>
    </row>
    <row r="76" spans="21:22" x14ac:dyDescent="0.25">
      <c r="U76" s="2" t="e">
        <f>#REF!*24</f>
        <v>#REF!</v>
      </c>
      <c r="V76" s="2" t="e">
        <f t="shared" si="3"/>
        <v>#REF!</v>
      </c>
    </row>
    <row r="77" spans="21:22" x14ac:dyDescent="0.25">
      <c r="U77" s="2" t="e">
        <f>#REF!*24</f>
        <v>#REF!</v>
      </c>
      <c r="V77" s="2" t="e">
        <f t="shared" si="3"/>
        <v>#REF!</v>
      </c>
    </row>
    <row r="78" spans="21:22" x14ac:dyDescent="0.25">
      <c r="U78" s="2" t="e">
        <f>#REF!*24</f>
        <v>#REF!</v>
      </c>
      <c r="V78" s="2" t="e">
        <f t="shared" si="3"/>
        <v>#REF!</v>
      </c>
    </row>
    <row r="79" spans="21:22" x14ac:dyDescent="0.25">
      <c r="U79" s="2" t="e">
        <f>#REF!*24</f>
        <v>#REF!</v>
      </c>
      <c r="V79" s="2" t="e">
        <f t="shared" si="3"/>
        <v>#REF!</v>
      </c>
    </row>
    <row r="80" spans="21:22" x14ac:dyDescent="0.25">
      <c r="U80" s="2" t="e">
        <f>#REF!*24</f>
        <v>#REF!</v>
      </c>
      <c r="V80" s="2" t="e">
        <f t="shared" si="3"/>
        <v>#REF!</v>
      </c>
    </row>
    <row r="81" spans="21:22" x14ac:dyDescent="0.25">
      <c r="U81" s="2" t="e">
        <f>#REF!*24</f>
        <v>#REF!</v>
      </c>
      <c r="V81" s="2" t="e">
        <f t="shared" si="3"/>
        <v>#REF!</v>
      </c>
    </row>
    <row r="82" spans="21:22" x14ac:dyDescent="0.25">
      <c r="U82" s="2" t="e">
        <f>#REF!*24</f>
        <v>#REF!</v>
      </c>
      <c r="V82" s="2" t="e">
        <f t="shared" si="3"/>
        <v>#REF!</v>
      </c>
    </row>
    <row r="83" spans="21:22" x14ac:dyDescent="0.25">
      <c r="U83" s="2" t="e">
        <f>#REF!*24</f>
        <v>#REF!</v>
      </c>
      <c r="V83" s="2" t="e">
        <f t="shared" si="3"/>
        <v>#REF!</v>
      </c>
    </row>
    <row r="84" spans="21:22" x14ac:dyDescent="0.25">
      <c r="U84" s="2" t="e">
        <f>#REF!*24</f>
        <v>#REF!</v>
      </c>
      <c r="V84" s="2" t="e">
        <f t="shared" si="3"/>
        <v>#REF!</v>
      </c>
    </row>
    <row r="85" spans="21:22" x14ac:dyDescent="0.25">
      <c r="U85" s="2" t="e">
        <f>#REF!*24</f>
        <v>#REF!</v>
      </c>
      <c r="V85" s="2" t="e">
        <f t="shared" si="3"/>
        <v>#REF!</v>
      </c>
    </row>
    <row r="86" spans="21:22" x14ac:dyDescent="0.25">
      <c r="U86" s="2" t="e">
        <f>#REF!*24</f>
        <v>#REF!</v>
      </c>
      <c r="V86" s="2" t="e">
        <f t="shared" si="3"/>
        <v>#REF!</v>
      </c>
    </row>
    <row r="87" spans="21:22" x14ac:dyDescent="0.25">
      <c r="U87" s="2" t="e">
        <f>#REF!*24</f>
        <v>#REF!</v>
      </c>
      <c r="V87" s="2" t="e">
        <f t="shared" si="3"/>
        <v>#REF!</v>
      </c>
    </row>
    <row r="88" spans="21:22" x14ac:dyDescent="0.25">
      <c r="U88" s="2" t="e">
        <f>#REF!*24</f>
        <v>#REF!</v>
      </c>
      <c r="V88" s="2" t="e">
        <f t="shared" si="3"/>
        <v>#REF!</v>
      </c>
    </row>
    <row r="89" spans="21:22" x14ac:dyDescent="0.25">
      <c r="U89" s="2" t="e">
        <f>#REF!*24</f>
        <v>#REF!</v>
      </c>
      <c r="V89" s="2" t="e">
        <f t="shared" si="3"/>
        <v>#REF!</v>
      </c>
    </row>
    <row r="90" spans="21:22" x14ac:dyDescent="0.25">
      <c r="U90" s="2" t="e">
        <f>#REF!*24</f>
        <v>#REF!</v>
      </c>
      <c r="V90" s="2" t="e">
        <f t="shared" si="3"/>
        <v>#REF!</v>
      </c>
    </row>
    <row r="91" spans="21:22" x14ac:dyDescent="0.25">
      <c r="U91" s="2" t="e">
        <f>#REF!*24</f>
        <v>#REF!</v>
      </c>
      <c r="V91" s="2" t="e">
        <f t="shared" si="3"/>
        <v>#REF!</v>
      </c>
    </row>
    <row r="92" spans="21:22" x14ac:dyDescent="0.25">
      <c r="U92" s="2" t="e">
        <f>#REF!*24</f>
        <v>#REF!</v>
      </c>
      <c r="V92" s="2" t="e">
        <f t="shared" si="3"/>
        <v>#REF!</v>
      </c>
    </row>
    <row r="93" spans="21:22" x14ac:dyDescent="0.25">
      <c r="U93" s="2" t="e">
        <f>#REF!*24</f>
        <v>#REF!</v>
      </c>
      <c r="V93" s="2" t="e">
        <f t="shared" si="3"/>
        <v>#REF!</v>
      </c>
    </row>
    <row r="94" spans="21:22" x14ac:dyDescent="0.25">
      <c r="U94" s="2" t="e">
        <f>#REF!*24</f>
        <v>#REF!</v>
      </c>
      <c r="V94" s="2" t="e">
        <f t="shared" si="3"/>
        <v>#REF!</v>
      </c>
    </row>
    <row r="95" spans="21:22" x14ac:dyDescent="0.25">
      <c r="U95" s="2" t="e">
        <f>#REF!*24</f>
        <v>#REF!</v>
      </c>
      <c r="V95" s="2" t="e">
        <f t="shared" si="3"/>
        <v>#REF!</v>
      </c>
    </row>
    <row r="96" spans="21:22" x14ac:dyDescent="0.25">
      <c r="U96" s="2" t="e">
        <f>#REF!*24</f>
        <v>#REF!</v>
      </c>
      <c r="V96" s="2" t="e">
        <f t="shared" si="3"/>
        <v>#REF!</v>
      </c>
    </row>
    <row r="97" spans="21:22" x14ac:dyDescent="0.25">
      <c r="U97" s="2" t="e">
        <f>#REF!*24</f>
        <v>#REF!</v>
      </c>
      <c r="V97" s="2" t="e">
        <f t="shared" si="3"/>
        <v>#REF!</v>
      </c>
    </row>
    <row r="98" spans="21:22" x14ac:dyDescent="0.25">
      <c r="U98" s="2" t="e">
        <f>#REF!*24</f>
        <v>#REF!</v>
      </c>
      <c r="V98" s="2" t="e">
        <f t="shared" ref="V98:V129" si="4">_xlfn.NORM.DIST(U98,$S$2,$T$2,FALSE)</f>
        <v>#REF!</v>
      </c>
    </row>
    <row r="99" spans="21:22" x14ac:dyDescent="0.25">
      <c r="U99" s="2" t="e">
        <f>#REF!*24</f>
        <v>#REF!</v>
      </c>
      <c r="V99" s="2" t="e">
        <f t="shared" si="4"/>
        <v>#REF!</v>
      </c>
    </row>
    <row r="100" spans="21:22" x14ac:dyDescent="0.25">
      <c r="U100" s="2" t="e">
        <f>#REF!*24</f>
        <v>#REF!</v>
      </c>
      <c r="V100" s="2" t="e">
        <f t="shared" si="4"/>
        <v>#REF!</v>
      </c>
    </row>
    <row r="101" spans="21:22" x14ac:dyDescent="0.25">
      <c r="U101" s="2" t="e">
        <f>#REF!*24</f>
        <v>#REF!</v>
      </c>
      <c r="V101" s="2" t="e">
        <f t="shared" si="4"/>
        <v>#REF!</v>
      </c>
    </row>
    <row r="102" spans="21:22" x14ac:dyDescent="0.25">
      <c r="U102" s="2" t="e">
        <f>#REF!*24</f>
        <v>#REF!</v>
      </c>
      <c r="V102" s="2" t="e">
        <f t="shared" si="4"/>
        <v>#REF!</v>
      </c>
    </row>
    <row r="103" spans="21:22" x14ac:dyDescent="0.25">
      <c r="U103" s="2" t="e">
        <f>#REF!*24</f>
        <v>#REF!</v>
      </c>
      <c r="V103" s="2" t="e">
        <f t="shared" si="4"/>
        <v>#REF!</v>
      </c>
    </row>
    <row r="104" spans="21:22" x14ac:dyDescent="0.25">
      <c r="U104" s="2" t="e">
        <f>#REF!*24</f>
        <v>#REF!</v>
      </c>
      <c r="V104" s="2" t="e">
        <f t="shared" si="4"/>
        <v>#REF!</v>
      </c>
    </row>
    <row r="105" spans="21:22" x14ac:dyDescent="0.25">
      <c r="U105" s="2" t="e">
        <f>#REF!*24</f>
        <v>#REF!</v>
      </c>
      <c r="V105" s="2" t="e">
        <f t="shared" si="4"/>
        <v>#REF!</v>
      </c>
    </row>
    <row r="106" spans="21:22" x14ac:dyDescent="0.25">
      <c r="U106" s="2" t="e">
        <f>#REF!*24</f>
        <v>#REF!</v>
      </c>
      <c r="V106" s="2" t="e">
        <f t="shared" si="4"/>
        <v>#REF!</v>
      </c>
    </row>
    <row r="107" spans="21:22" x14ac:dyDescent="0.25">
      <c r="U107" s="2" t="e">
        <f>#REF!*24</f>
        <v>#REF!</v>
      </c>
      <c r="V107" s="2" t="e">
        <f t="shared" si="4"/>
        <v>#REF!</v>
      </c>
    </row>
    <row r="108" spans="21:22" x14ac:dyDescent="0.25">
      <c r="U108" s="2" t="e">
        <f>#REF!*24</f>
        <v>#REF!</v>
      </c>
      <c r="V108" s="2" t="e">
        <f t="shared" si="4"/>
        <v>#REF!</v>
      </c>
    </row>
    <row r="109" spans="21:22" x14ac:dyDescent="0.25">
      <c r="U109" s="2" t="e">
        <f>#REF!*24</f>
        <v>#REF!</v>
      </c>
      <c r="V109" s="2" t="e">
        <f t="shared" si="4"/>
        <v>#REF!</v>
      </c>
    </row>
    <row r="110" spans="21:22" x14ac:dyDescent="0.25">
      <c r="U110" s="2" t="e">
        <f>#REF!*24</f>
        <v>#REF!</v>
      </c>
      <c r="V110" s="2" t="e">
        <f t="shared" si="4"/>
        <v>#REF!</v>
      </c>
    </row>
    <row r="111" spans="21:22" x14ac:dyDescent="0.25">
      <c r="U111" s="2" t="e">
        <f>#REF!*24</f>
        <v>#REF!</v>
      </c>
      <c r="V111" s="2" t="e">
        <f t="shared" si="4"/>
        <v>#REF!</v>
      </c>
    </row>
    <row r="112" spans="21:22" x14ac:dyDescent="0.25">
      <c r="U112" s="2" t="e">
        <f>#REF!*24</f>
        <v>#REF!</v>
      </c>
      <c r="V112" s="2" t="e">
        <f t="shared" si="4"/>
        <v>#REF!</v>
      </c>
    </row>
    <row r="113" spans="21:22" x14ac:dyDescent="0.25">
      <c r="U113" s="2" t="e">
        <f>#REF!*24</f>
        <v>#REF!</v>
      </c>
      <c r="V113" s="2" t="e">
        <f t="shared" si="4"/>
        <v>#REF!</v>
      </c>
    </row>
    <row r="114" spans="21:22" x14ac:dyDescent="0.25">
      <c r="U114" s="2" t="e">
        <f>#REF!*24</f>
        <v>#REF!</v>
      </c>
      <c r="V114" s="2" t="e">
        <f t="shared" si="4"/>
        <v>#REF!</v>
      </c>
    </row>
    <row r="115" spans="21:22" x14ac:dyDescent="0.25">
      <c r="U115" s="2" t="e">
        <f>#REF!*24</f>
        <v>#REF!</v>
      </c>
      <c r="V115" s="2" t="e">
        <f t="shared" si="4"/>
        <v>#REF!</v>
      </c>
    </row>
    <row r="116" spans="21:22" x14ac:dyDescent="0.25">
      <c r="U116" s="2" t="e">
        <f>#REF!*24</f>
        <v>#REF!</v>
      </c>
      <c r="V116" s="2" t="e">
        <f t="shared" si="4"/>
        <v>#REF!</v>
      </c>
    </row>
    <row r="117" spans="21:22" x14ac:dyDescent="0.25">
      <c r="U117" s="2" t="e">
        <f>#REF!*24</f>
        <v>#REF!</v>
      </c>
      <c r="V117" s="2" t="e">
        <f t="shared" si="4"/>
        <v>#REF!</v>
      </c>
    </row>
    <row r="118" spans="21:22" x14ac:dyDescent="0.25">
      <c r="U118" s="2" t="e">
        <f>#REF!*24</f>
        <v>#REF!</v>
      </c>
      <c r="V118" s="2" t="e">
        <f t="shared" si="4"/>
        <v>#REF!</v>
      </c>
    </row>
    <row r="119" spans="21:22" x14ac:dyDescent="0.25">
      <c r="U119" s="2" t="e">
        <f>#REF!*24</f>
        <v>#REF!</v>
      </c>
      <c r="V119" s="2" t="e">
        <f t="shared" si="4"/>
        <v>#REF!</v>
      </c>
    </row>
    <row r="120" spans="21:22" x14ac:dyDescent="0.25">
      <c r="U120" s="2" t="e">
        <f>#REF!*24</f>
        <v>#REF!</v>
      </c>
      <c r="V120" s="2" t="e">
        <f t="shared" si="4"/>
        <v>#REF!</v>
      </c>
    </row>
    <row r="121" spans="21:22" x14ac:dyDescent="0.25">
      <c r="U121" s="2" t="e">
        <f>#REF!*24</f>
        <v>#REF!</v>
      </c>
      <c r="V121" s="2" t="e">
        <f t="shared" si="4"/>
        <v>#REF!</v>
      </c>
    </row>
    <row r="122" spans="21:22" x14ac:dyDescent="0.25">
      <c r="U122" s="2" t="e">
        <f>#REF!*24</f>
        <v>#REF!</v>
      </c>
      <c r="V122" s="2" t="e">
        <f t="shared" si="4"/>
        <v>#REF!</v>
      </c>
    </row>
    <row r="123" spans="21:22" x14ac:dyDescent="0.25">
      <c r="U123" s="2" t="e">
        <f>#REF!*24</f>
        <v>#REF!</v>
      </c>
      <c r="V123" s="2" t="e">
        <f t="shared" si="4"/>
        <v>#REF!</v>
      </c>
    </row>
    <row r="124" spans="21:22" x14ac:dyDescent="0.25">
      <c r="U124" s="2" t="e">
        <f>#REF!*24</f>
        <v>#REF!</v>
      </c>
      <c r="V124" s="2" t="e">
        <f t="shared" si="4"/>
        <v>#REF!</v>
      </c>
    </row>
    <row r="125" spans="21:22" x14ac:dyDescent="0.25">
      <c r="U125" s="2" t="e">
        <f>#REF!*24</f>
        <v>#REF!</v>
      </c>
      <c r="V125" s="2" t="e">
        <f t="shared" si="4"/>
        <v>#REF!</v>
      </c>
    </row>
    <row r="126" spans="21:22" x14ac:dyDescent="0.25">
      <c r="U126" s="2" t="e">
        <f>#REF!*24</f>
        <v>#REF!</v>
      </c>
      <c r="V126" s="2" t="e">
        <f t="shared" si="4"/>
        <v>#REF!</v>
      </c>
    </row>
    <row r="127" spans="21:22" x14ac:dyDescent="0.25">
      <c r="U127" s="2" t="e">
        <f>#REF!*24</f>
        <v>#REF!</v>
      </c>
      <c r="V127" s="2" t="e">
        <f t="shared" si="4"/>
        <v>#REF!</v>
      </c>
    </row>
    <row r="128" spans="21:22" x14ac:dyDescent="0.25">
      <c r="U128" s="2" t="e">
        <f>#REF!*24</f>
        <v>#REF!</v>
      </c>
      <c r="V128" s="2" t="e">
        <f t="shared" si="4"/>
        <v>#REF!</v>
      </c>
    </row>
    <row r="129" spans="21:22" x14ac:dyDescent="0.25">
      <c r="U129" s="2" t="e">
        <f>#REF!*24</f>
        <v>#REF!</v>
      </c>
      <c r="V129" s="2" t="e">
        <f t="shared" si="4"/>
        <v>#REF!</v>
      </c>
    </row>
    <row r="130" spans="21:22" x14ac:dyDescent="0.25">
      <c r="U130" s="2" t="e">
        <f>#REF!*24</f>
        <v>#REF!</v>
      </c>
      <c r="V130" s="2" t="e">
        <f t="shared" ref="V130:V137" si="5">_xlfn.NORM.DIST(U130,$S$2,$T$2,FALSE)</f>
        <v>#REF!</v>
      </c>
    </row>
    <row r="131" spans="21:22" x14ac:dyDescent="0.25">
      <c r="U131" s="2" t="e">
        <f>#REF!*24</f>
        <v>#REF!</v>
      </c>
      <c r="V131" s="2" t="e">
        <f t="shared" si="5"/>
        <v>#REF!</v>
      </c>
    </row>
    <row r="132" spans="21:22" x14ac:dyDescent="0.25">
      <c r="U132" s="2" t="e">
        <f>#REF!*24</f>
        <v>#REF!</v>
      </c>
      <c r="V132" s="2" t="e">
        <f t="shared" si="5"/>
        <v>#REF!</v>
      </c>
    </row>
    <row r="133" spans="21:22" x14ac:dyDescent="0.25">
      <c r="U133" s="2" t="e">
        <f>#REF!*24</f>
        <v>#REF!</v>
      </c>
      <c r="V133" s="2" t="e">
        <f t="shared" si="5"/>
        <v>#REF!</v>
      </c>
    </row>
    <row r="134" spans="21:22" x14ac:dyDescent="0.25">
      <c r="U134" s="2" t="e">
        <f>#REF!*24</f>
        <v>#REF!</v>
      </c>
      <c r="V134" s="2" t="e">
        <f t="shared" si="5"/>
        <v>#REF!</v>
      </c>
    </row>
    <row r="135" spans="21:22" x14ac:dyDescent="0.25">
      <c r="U135" s="2" t="e">
        <f>#REF!*24</f>
        <v>#REF!</v>
      </c>
      <c r="V135" s="2" t="e">
        <f t="shared" si="5"/>
        <v>#REF!</v>
      </c>
    </row>
    <row r="136" spans="21:22" x14ac:dyDescent="0.25">
      <c r="U136" s="2" t="e">
        <f>#REF!*24</f>
        <v>#REF!</v>
      </c>
      <c r="V136" s="2" t="e">
        <f t="shared" si="5"/>
        <v>#REF!</v>
      </c>
    </row>
    <row r="137" spans="21:22" x14ac:dyDescent="0.25">
      <c r="U137" s="2" t="e">
        <f>#REF!*24</f>
        <v>#REF!</v>
      </c>
      <c r="V137" s="2" t="e">
        <f t="shared" si="5"/>
        <v>#REF!</v>
      </c>
    </row>
  </sheetData>
  <conditionalFormatting sqref="H6:H9">
    <cfRule type="notContainsBlanks" dxfId="5" priority="3">
      <formula>LEN(TRIM(H6))&gt;0</formula>
    </cfRule>
    <cfRule type="containsBlanks" dxfId="4" priority="4">
      <formula>LEN(TRIM(H6))=0</formula>
    </cfRule>
  </conditionalFormatting>
  <conditionalFormatting sqref="J3">
    <cfRule type="notContainsBlanks" dxfId="3" priority="5">
      <formula>LEN(TRIM(J3))&gt;0</formula>
    </cfRule>
    <cfRule type="containsBlanks" dxfId="2" priority="6">
      <formula>LEN(TRIM(J3))=0</formula>
    </cfRule>
  </conditionalFormatting>
  <conditionalFormatting sqref="I14:I19">
    <cfRule type="notContainsBlanks" dxfId="1" priority="1">
      <formula>LEN(TRIM(I14))&gt;0</formula>
    </cfRule>
    <cfRule type="containsBlanks" dxfId="0" priority="2">
      <formula>LEN(TRIM(I14))=0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FECA8-0551-4D86-8931-B307C9256981}">
  <sheetPr codeName="Sheet7"/>
  <dimension ref="C15:I23"/>
  <sheetViews>
    <sheetView showGridLines="0" workbookViewId="0">
      <selection activeCell="K9" sqref="K9"/>
    </sheetView>
  </sheetViews>
  <sheetFormatPr defaultRowHeight="15" x14ac:dyDescent="0.25"/>
  <cols>
    <col min="3" max="3" width="13.5703125" bestFit="1" customWidth="1"/>
    <col min="4" max="4" width="13.28515625" bestFit="1" customWidth="1"/>
    <col min="5" max="5" width="16.7109375" bestFit="1" customWidth="1"/>
    <col min="6" max="6" width="18.140625" customWidth="1"/>
    <col min="8" max="8" width="25" bestFit="1" customWidth="1"/>
    <col min="9" max="9" width="40.5703125" customWidth="1"/>
  </cols>
  <sheetData>
    <row r="15" spans="3:9" x14ac:dyDescent="0.25">
      <c r="C15" t="s">
        <v>155</v>
      </c>
      <c r="E15" t="s">
        <v>157</v>
      </c>
      <c r="F15" s="15">
        <v>80</v>
      </c>
      <c r="H15" t="s">
        <v>156</v>
      </c>
      <c r="I15" t="str" cm="1">
        <f t="array" ref="I15">INDEX('Report Data'!BW:BW,Elevations!F15)</f>
        <v>f757a800-25be-4106-bf8b-a89898b3209c</v>
      </c>
    </row>
    <row r="22" spans="3:9" x14ac:dyDescent="0.25">
      <c r="C22" t="s">
        <v>898</v>
      </c>
      <c r="D22" t="s">
        <v>899</v>
      </c>
      <c r="E22" t="s">
        <v>900</v>
      </c>
      <c r="F22" t="s">
        <v>901</v>
      </c>
      <c r="G22" t="s">
        <v>902</v>
      </c>
      <c r="H22" t="s">
        <v>908</v>
      </c>
      <c r="I22" t="s">
        <v>909</v>
      </c>
    </row>
    <row r="23" spans="3:9" x14ac:dyDescent="0.25">
      <c r="C23">
        <f>MAX('Elevations Calcs'!H:H)</f>
        <v>246.31534159567437</v>
      </c>
      <c r="D23">
        <f>MIN('Elevations Calcs'!H:H)</f>
        <v>232.04981030064999</v>
      </c>
      <c r="E23">
        <f>C23-D23</f>
        <v>14.265531295024374</v>
      </c>
      <c r="F23">
        <f ca="1">SUMIF('Elevations Calcs'!I:I,"&gt;0")</f>
        <v>9.7635263135982484</v>
      </c>
      <c r="G23">
        <f ca="1">SUMIF('Elevations Calcs'!I:I,"&lt;0")</f>
        <v>-20.617507813319065</v>
      </c>
      <c r="H23" t="e">
        <f ca="1">MAX('Elevations Calcs'!K:K)</f>
        <v>#VALUE!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Drop Down 1">
              <controlPr defaultSize="0" autoLine="0" autoPict="0" macro="[0]!DropDown1_Change">
                <anchor moveWithCells="1">
                  <from>
                    <xdr:col>1</xdr:col>
                    <xdr:colOff>542925</xdr:colOff>
                    <xdr:row>16</xdr:row>
                    <xdr:rowOff>9525</xdr:rowOff>
                  </from>
                  <to>
                    <xdr:col>5</xdr:col>
                    <xdr:colOff>514350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0637C-8571-499C-A0E1-61870419D549}">
  <sheetPr codeName="Sheet8"/>
  <dimension ref="D1:L6963"/>
  <sheetViews>
    <sheetView topLeftCell="C94" workbookViewId="0">
      <selection activeCell="O8" sqref="O8"/>
    </sheetView>
  </sheetViews>
  <sheetFormatPr defaultRowHeight="15" x14ac:dyDescent="0.25"/>
  <cols>
    <col min="4" max="4" width="17.42578125" bestFit="1" customWidth="1"/>
    <col min="5" max="5" width="15.85546875" bestFit="1" customWidth="1"/>
    <col min="7" max="7" width="16.42578125" bestFit="1" customWidth="1"/>
    <col min="8" max="8" width="15.42578125" bestFit="1" customWidth="1"/>
    <col min="9" max="9" width="13.140625" bestFit="1" customWidth="1"/>
    <col min="11" max="11" width="17.42578125" bestFit="1" customWidth="1"/>
    <col min="12" max="12" width="18.28515625" bestFit="1" customWidth="1"/>
  </cols>
  <sheetData>
    <row r="1" spans="4:12" x14ac:dyDescent="0.25">
      <c r="F1" t="s">
        <v>2</v>
      </c>
      <c r="G1" t="s">
        <v>897</v>
      </c>
      <c r="H1" s="2" t="s">
        <v>905</v>
      </c>
      <c r="I1" t="s">
        <v>904</v>
      </c>
      <c r="J1" t="s">
        <v>903</v>
      </c>
      <c r="K1" t="s">
        <v>906</v>
      </c>
      <c r="L1" t="s">
        <v>907</v>
      </c>
    </row>
    <row r="2" spans="4:12" x14ac:dyDescent="0.25">
      <c r="F2" cm="1">
        <f t="array" ref="F2:F116">Trail_Json_Import[Column1.distance]</f>
        <v>8.2264690714642867</v>
      </c>
      <c r="G2">
        <f>SUM(INDEX(Trail_Json_Import[Column1.distance],1):Trail_Json_Import[[#This Row],[Column1.distance]])</f>
        <v>8.2264690714642867</v>
      </c>
      <c r="H2" s="2" cm="1">
        <f t="array" ref="H2:H116">Trail_Json_Import[Column1.alt]</f>
        <v>242.90379180037081</v>
      </c>
      <c r="J2" cm="1">
        <f t="array" ref="J2">INDEX(I:I,ROW())/INDEX(F:F,ROW())</f>
        <v>0</v>
      </c>
      <c r="K2" t="str">
        <f>IF(J2&gt;0,J2,"")</f>
        <v/>
      </c>
      <c r="L2" t="str">
        <f>IF(J2&lt;0,J2,"")</f>
        <v/>
      </c>
    </row>
    <row r="3" spans="4:12" x14ac:dyDescent="0.25">
      <c r="F3">
        <v>17.979974156448709</v>
      </c>
      <c r="G3" s="2">
        <f>SUM(INDEX(Trail_Json_Import[Column1.distance],1):Trail_Json_Import[[#This Row],[Column1.distance]])</f>
        <v>26.206443227912995</v>
      </c>
      <c r="H3" s="2">
        <v>243.15516726507909</v>
      </c>
      <c r="I3" s="2" cm="1">
        <f t="array" aca="1" ref="I3" ca="1">IF(INDIRECT(ADDRESS(ROW(),COLUMN()-1))&lt;&gt;"",INDIRECT(ADDRESS(ROW(),COLUMN()-1)) - INDIRECT(ADDRESS(ROW()-1,COLUMN()-1)),"")</f>
        <v>0.25137546470827488</v>
      </c>
      <c r="J3" s="2" cm="1">
        <f t="array" aca="1" ref="J3" ca="1">INDEX(I:I,ROW())/INDEX(F:F,ROW())</f>
        <v>1.3980857954577004E-2</v>
      </c>
      <c r="K3" s="2">
        <f t="shared" ref="K3:K66" ca="1" si="0">IF(J3&gt;0,J3,"")</f>
        <v>1.3980857954577004E-2</v>
      </c>
      <c r="L3" s="2" t="str">
        <f t="shared" ref="L3:L66" ca="1" si="1">IF(J3&lt;0,J3,"")</f>
        <v/>
      </c>
    </row>
    <row r="4" spans="4:12" x14ac:dyDescent="0.25">
      <c r="F4">
        <v>19.448644929628809</v>
      </c>
      <c r="G4" s="2">
        <f>SUM(INDEX(Trail_Json_Import[Column1.distance],1):Trail_Json_Import[[#This Row],[Column1.distance]])</f>
        <v>45.655088157541805</v>
      </c>
      <c r="H4" s="2">
        <v>243.36550491893496</v>
      </c>
      <c r="I4" s="2" cm="1">
        <f t="array" aca="1" ref="I4" ca="1">IF(INDIRECT(ADDRESS(ROW(),COLUMN()-1))&lt;&gt;"",INDIRECT(ADDRESS(ROW(),COLUMN()-1)) - INDIRECT(ADDRESS(ROW()-1,COLUMN()-1)),"")</f>
        <v>0.21033765385587344</v>
      </c>
      <c r="J4" s="2" cm="1">
        <f t="array" aca="1" ref="J4" ca="1">INDEX(I:I,ROW())/INDEX(F:F,ROW())</f>
        <v>1.0815028739376953E-2</v>
      </c>
      <c r="K4" s="2">
        <f t="shared" ca="1" si="0"/>
        <v>1.0815028739376953E-2</v>
      </c>
      <c r="L4" s="2" t="str">
        <f t="shared" ca="1" si="1"/>
        <v/>
      </c>
    </row>
    <row r="5" spans="4:12" x14ac:dyDescent="0.25">
      <c r="D5" s="2"/>
      <c r="E5" s="2"/>
      <c r="F5">
        <v>17.979995256644617</v>
      </c>
      <c r="G5" s="2">
        <f>SUM(INDEX(Trail_Json_Import[Column1.distance],1):Trail_Json_Import[[#This Row],[Column1.distance]])</f>
        <v>63.635083414186425</v>
      </c>
      <c r="H5" s="2">
        <v>243.41201968491879</v>
      </c>
      <c r="I5" s="2" cm="1">
        <f t="array" aca="1" ref="I5" ca="1">IF(INDIRECT(ADDRESS(ROW(),COLUMN()-1))&lt;&gt;"",INDIRECT(ADDRESS(ROW(),COLUMN()-1)) - INDIRECT(ADDRESS(ROW()-1,COLUMN()-1)),"")</f>
        <v>4.651476598382942E-2</v>
      </c>
      <c r="J5" s="2" cm="1">
        <f t="array" aca="1" ref="J5" ca="1">INDEX(I:I,ROW())/INDEX(F:F,ROW())</f>
        <v>2.5870288239725537E-3</v>
      </c>
      <c r="K5" s="2">
        <f t="shared" ca="1" si="0"/>
        <v>2.5870288239725537E-3</v>
      </c>
      <c r="L5" s="2" t="str">
        <f t="shared" ca="1" si="1"/>
        <v/>
      </c>
    </row>
    <row r="6" spans="4:12" x14ac:dyDescent="0.25">
      <c r="D6" s="2"/>
      <c r="E6" s="2"/>
      <c r="F6">
        <v>17.979989933492178</v>
      </c>
      <c r="G6" s="2">
        <f>SUM(INDEX(Trail_Json_Import[Column1.distance],1):Trail_Json_Import[[#This Row],[Column1.distance]])</f>
        <v>81.615073347678603</v>
      </c>
      <c r="H6" s="2">
        <v>243.45853446467149</v>
      </c>
      <c r="I6" s="2" cm="1">
        <f t="array" aca="1" ref="I6" ca="1">IF(INDIRECT(ADDRESS(ROW(),COLUMN()-1))&lt;&gt;"",INDIRECT(ADDRESS(ROW(),COLUMN()-1)) - INDIRECT(ADDRESS(ROW()-1,COLUMN()-1)),"")</f>
        <v>4.6514779752698132E-2</v>
      </c>
      <c r="J6" s="2" cm="1">
        <f t="array" aca="1" ref="J6" ca="1">INDEX(I:I,ROW())/INDEX(F:F,ROW())</f>
        <v>2.5870303556762759E-3</v>
      </c>
      <c r="K6" s="2">
        <f t="shared" ca="1" si="0"/>
        <v>2.5870303556762759E-3</v>
      </c>
      <c r="L6" s="2" t="str">
        <f t="shared" ca="1" si="1"/>
        <v/>
      </c>
    </row>
    <row r="7" spans="4:12" x14ac:dyDescent="0.25">
      <c r="D7" s="2"/>
      <c r="E7" s="2"/>
      <c r="F7">
        <v>17.979984610319004</v>
      </c>
      <c r="G7" s="2">
        <f>SUM(INDEX(Trail_Json_Import[Column1.distance],1):Trail_Json_Import[[#This Row],[Column1.distance]])</f>
        <v>99.595057957997611</v>
      </c>
      <c r="H7" s="2">
        <v>243.50504925819297</v>
      </c>
      <c r="I7" s="2" cm="1">
        <f t="array" aca="1" ref="I7" ca="1">IF(INDIRECT(ADDRESS(ROW(),COLUMN()-1))&lt;&gt;"",INDIRECT(ADDRESS(ROW(),COLUMN()-1)) - INDIRECT(ADDRESS(ROW()-1,COLUMN()-1)),"")</f>
        <v>4.6514793521481579E-2</v>
      </c>
      <c r="J7" s="2" cm="1">
        <f t="array" aca="1" ref="J7" ca="1">INDEX(I:I,ROW())/INDEX(F:F,ROW())</f>
        <v>2.5870318873791463E-3</v>
      </c>
      <c r="K7" s="2">
        <f t="shared" ca="1" si="0"/>
        <v>2.5870318873791463E-3</v>
      </c>
      <c r="L7" s="2" t="str">
        <f t="shared" ca="1" si="1"/>
        <v/>
      </c>
    </row>
    <row r="8" spans="4:12" x14ac:dyDescent="0.25">
      <c r="D8" s="2"/>
      <c r="E8" s="2"/>
      <c r="F8">
        <v>17.97997928948314</v>
      </c>
      <c r="G8" s="2">
        <f>SUM(INDEX(Trail_Json_Import[Column1.distance],1):Trail_Json_Import[[#This Row],[Column1.distance]])</f>
        <v>117.57503724748075</v>
      </c>
      <c r="H8" s="2">
        <v>243.55156406548323</v>
      </c>
      <c r="I8" s="2" cm="1">
        <f t="array" aca="1" ref="I8" ca="1">IF(INDIRECT(ADDRESS(ROW(),COLUMN()-1))&lt;&gt;"",INDIRECT(ADDRESS(ROW(),COLUMN()-1)) - INDIRECT(ADDRESS(ROW()-1,COLUMN()-1)),"")</f>
        <v>4.6514807290265026E-2</v>
      </c>
      <c r="J8" s="2" cm="1">
        <f t="array" aca="1" ref="J8" ca="1">INDEX(I:I,ROW())/INDEX(F:F,ROW())</f>
        <v>2.5870334187466219E-3</v>
      </c>
      <c r="K8" s="2">
        <f t="shared" ca="1" si="0"/>
        <v>2.5870334187466219E-3</v>
      </c>
      <c r="L8" s="2" t="str">
        <f t="shared" ca="1" si="1"/>
        <v/>
      </c>
    </row>
    <row r="9" spans="4:12" x14ac:dyDescent="0.25">
      <c r="D9" s="2"/>
      <c r="E9" s="2"/>
      <c r="F9">
        <v>17.979973964982403</v>
      </c>
      <c r="G9" s="2">
        <f>SUM(INDEX(Trail_Json_Import[Column1.distance],1):Trail_Json_Import[[#This Row],[Column1.distance]])</f>
        <v>135.55501121246314</v>
      </c>
      <c r="H9" s="2">
        <v>243.59807888654291</v>
      </c>
      <c r="I9" s="2" cm="1">
        <f t="array" aca="1" ref="I9" ca="1">IF(INDIRECT(ADDRESS(ROW(),COLUMN()-1))&lt;&gt;"",INDIRECT(ADDRESS(ROW(),COLUMN()-1)) - INDIRECT(ADDRESS(ROW()-1,COLUMN()-1)),"")</f>
        <v>4.651482105967375E-2</v>
      </c>
      <c r="J9" s="2" cm="1">
        <f t="array" aca="1" ref="J9" ca="1">INDEX(I:I,ROW())/INDEX(F:F,ROW())</f>
        <v>2.5870349506770976E-3</v>
      </c>
      <c r="K9" s="2">
        <f t="shared" ca="1" si="0"/>
        <v>2.5870349506770976E-3</v>
      </c>
      <c r="L9" s="2" t="str">
        <f t="shared" ca="1" si="1"/>
        <v/>
      </c>
    </row>
    <row r="10" spans="4:12" x14ac:dyDescent="0.25">
      <c r="D10" s="2"/>
      <c r="E10" s="2"/>
      <c r="F10">
        <v>17.979968644748752</v>
      </c>
      <c r="G10" s="2">
        <f>SUM(INDEX(Trail_Json_Import[Column1.distance],1):Trail_Json_Import[[#This Row],[Column1.distance]])</f>
        <v>153.53497985721191</v>
      </c>
      <c r="H10" s="2">
        <v>243.64459372137017</v>
      </c>
      <c r="I10" s="2" cm="1">
        <f t="array" aca="1" ref="I10" ca="1">IF(INDIRECT(ADDRESS(ROW(),COLUMN()-1))&lt;&gt;"",INDIRECT(ADDRESS(ROW(),COLUMN()-1)) - INDIRECT(ADDRESS(ROW()-1,COLUMN()-1)),"")</f>
        <v>4.6514834827263485E-2</v>
      </c>
      <c r="J10" s="2" cm="1">
        <f t="array" aca="1" ref="J10" ca="1">INDEX(I:I,ROW())/INDEX(F:F,ROW())</f>
        <v>2.587036481893346E-3</v>
      </c>
      <c r="K10" s="2">
        <f t="shared" ca="1" si="0"/>
        <v>2.587036481893346E-3</v>
      </c>
      <c r="L10" s="2" t="str">
        <f t="shared" ca="1" si="1"/>
        <v/>
      </c>
    </row>
    <row r="11" spans="4:12" x14ac:dyDescent="0.25">
      <c r="D11" s="2"/>
      <c r="E11" s="2"/>
      <c r="F11">
        <v>24.740549578527904</v>
      </c>
      <c r="G11" s="2">
        <f>SUM(INDEX(Trail_Json_Import[Column1.distance],1):Trail_Json_Import[[#This Row],[Column1.distance]])</f>
        <v>178.27552943573983</v>
      </c>
      <c r="H11" s="2">
        <v>243.63820202562999</v>
      </c>
      <c r="I11" s="2" cm="1">
        <f t="array" aca="1" ref="I11" ca="1">IF(INDIRECT(ADDRESS(ROW(),COLUMN()-1))&lt;&gt;"",INDIRECT(ADDRESS(ROW(),COLUMN()-1)) - INDIRECT(ADDRESS(ROW()-1,COLUMN()-1)),"")</f>
        <v>-6.3916957401772834E-3</v>
      </c>
      <c r="J11" s="2" cm="1">
        <f t="array" aca="1" ref="J11" ca="1">INDEX(I:I,ROW())/INDEX(F:F,ROW())</f>
        <v>-2.5834897967361961E-4</v>
      </c>
      <c r="K11" s="2" t="str">
        <f t="shared" ca="1" si="0"/>
        <v/>
      </c>
      <c r="L11" s="2">
        <f t="shared" ca="1" si="1"/>
        <v>-2.5834897967361961E-4</v>
      </c>
    </row>
    <row r="12" spans="4:12" x14ac:dyDescent="0.25">
      <c r="D12" s="2"/>
      <c r="E12" s="2"/>
      <c r="F12">
        <v>35.584304879728229</v>
      </c>
      <c r="G12" s="2">
        <f>SUM(INDEX(Trail_Json_Import[Column1.distance],1):Trail_Json_Import[[#This Row],[Column1.distance]])</f>
        <v>213.85983431546805</v>
      </c>
      <c r="H12" s="2">
        <v>244.08551665368799</v>
      </c>
      <c r="I12" s="2" cm="1">
        <f t="array" aca="1" ref="I12" ca="1">IF(INDIRECT(ADDRESS(ROW(),COLUMN()-1))&lt;&gt;"",INDIRECT(ADDRESS(ROW(),COLUMN()-1)) - INDIRECT(ADDRESS(ROW()-1,COLUMN()-1)),"")</f>
        <v>0.44731462805799538</v>
      </c>
      <c r="J12" s="2" cm="1">
        <f t="array" aca="1" ref="J12" ca="1">INDEX(I:I,ROW())/INDEX(F:F,ROW())</f>
        <v>1.2570559677078949E-2</v>
      </c>
      <c r="K12" s="2">
        <f t="shared" ca="1" si="0"/>
        <v>1.2570559677078949E-2</v>
      </c>
      <c r="L12" s="2" t="str">
        <f t="shared" ca="1" si="1"/>
        <v/>
      </c>
    </row>
    <row r="13" spans="4:12" x14ac:dyDescent="0.25">
      <c r="D13" s="2"/>
      <c r="E13" s="2"/>
      <c r="F13">
        <v>35.959942471000495</v>
      </c>
      <c r="G13" s="2">
        <f>SUM(INDEX(Trail_Json_Import[Column1.distance],1):Trail_Json_Import[[#This Row],[Column1.distance]])</f>
        <v>249.81977678646854</v>
      </c>
      <c r="H13" s="2">
        <v>244.82879163428456</v>
      </c>
      <c r="I13" s="2" cm="1">
        <f t="array" aca="1" ref="I13" ca="1">IF(INDIRECT(ADDRESS(ROW(),COLUMN()-1))&lt;&gt;"",INDIRECT(ADDRESS(ROW(),COLUMN()-1)) - INDIRECT(ADDRESS(ROW()-1,COLUMN()-1)),"")</f>
        <v>0.74327498059656705</v>
      </c>
      <c r="J13" s="2" cm="1">
        <f t="array" aca="1" ref="J13" ca="1">INDEX(I:I,ROW())/INDEX(F:F,ROW())</f>
        <v>2.0669526409725851E-2</v>
      </c>
      <c r="K13" s="2">
        <f t="shared" ca="1" si="0"/>
        <v>2.0669526409725851E-2</v>
      </c>
      <c r="L13" s="2" t="str">
        <f t="shared" ca="1" si="1"/>
        <v/>
      </c>
    </row>
    <row r="14" spans="4:12" x14ac:dyDescent="0.25">
      <c r="D14" s="2"/>
      <c r="E14" s="2"/>
      <c r="F14">
        <v>35.959942465978536</v>
      </c>
      <c r="G14" s="2">
        <f>SUM(INDEX(Trail_Json_Import[Column1.distance],1):Trail_Json_Import[[#This Row],[Column1.distance]])</f>
        <v>285.77971925244708</v>
      </c>
      <c r="H14" s="2">
        <v>245.57206661496031</v>
      </c>
      <c r="I14" s="2" cm="1">
        <f t="array" aca="1" ref="I14" ca="1">IF(INDIRECT(ADDRESS(ROW(),COLUMN()-1))&lt;&gt;"",INDIRECT(ADDRESS(ROW(),COLUMN()-1)) - INDIRECT(ADDRESS(ROW()-1,COLUMN()-1)),"")</f>
        <v>0.74327498067574993</v>
      </c>
      <c r="J14" s="2" cm="1">
        <f t="array" aca="1" ref="J14" ca="1">INDEX(I:I,ROW())/INDEX(F:F,ROW())</f>
        <v>2.0669526414814416E-2</v>
      </c>
      <c r="K14" s="2">
        <f t="shared" ca="1" si="0"/>
        <v>2.0669526414814416E-2</v>
      </c>
      <c r="L14" s="2" t="str">
        <f t="shared" ca="1" si="1"/>
        <v/>
      </c>
    </row>
    <row r="15" spans="4:12" x14ac:dyDescent="0.25">
      <c r="D15" s="2"/>
      <c r="E15" s="2"/>
      <c r="F15">
        <v>35.959942460970986</v>
      </c>
      <c r="G15" s="2">
        <f>SUM(INDEX(Trail_Json_Import[Column1.distance],1):Trail_Json_Import[[#This Row],[Column1.distance]])</f>
        <v>321.73966171341806</v>
      </c>
      <c r="H15" s="2">
        <v>246.31534159567437</v>
      </c>
      <c r="I15" s="2" cm="1">
        <f t="array" aca="1" ref="I15" ca="1">IF(INDIRECT(ADDRESS(ROW(),COLUMN()-1))&lt;&gt;"",INDIRECT(ADDRESS(ROW(),COLUMN()-1)) - INDIRECT(ADDRESS(ROW()-1,COLUMN()-1)),"")</f>
        <v>0.74327498071406239</v>
      </c>
      <c r="J15" s="2" cm="1">
        <f t="array" aca="1" ref="J15" ca="1">INDEX(I:I,ROW())/INDEX(F:F,ROW())</f>
        <v>2.066952641875814E-2</v>
      </c>
      <c r="K15" s="2">
        <f t="shared" ca="1" si="0"/>
        <v>2.066952641875814E-2</v>
      </c>
      <c r="L15" s="2" t="str">
        <f t="shared" ca="1" si="1"/>
        <v/>
      </c>
    </row>
    <row r="16" spans="4:12" x14ac:dyDescent="0.25">
      <c r="D16" s="2"/>
      <c r="E16" s="2"/>
      <c r="F16">
        <v>60.536716227906609</v>
      </c>
      <c r="G16" s="2">
        <f>SUM(INDEX(Trail_Json_Import[Column1.distance],1):Trail_Json_Import[[#This Row],[Column1.distance]])</f>
        <v>382.27637794132465</v>
      </c>
      <c r="H16" s="2">
        <v>246.02089719898183</v>
      </c>
      <c r="I16" s="2" cm="1">
        <f t="array" aca="1" ref="I16" ca="1">IF(INDIRECT(ADDRESS(ROW(),COLUMN()-1))&lt;&gt;"",INDIRECT(ADDRESS(ROW(),COLUMN()-1)) - INDIRECT(ADDRESS(ROW()-1,COLUMN()-1)),"")</f>
        <v>-0.29444439669254052</v>
      </c>
      <c r="J16" s="2" cm="1">
        <f t="array" aca="1" ref="J16" ca="1">INDEX(I:I,ROW())/INDEX(F:F,ROW())</f>
        <v>-4.8638977308254729E-3</v>
      </c>
      <c r="K16" s="2" t="str">
        <f t="shared" ca="1" si="0"/>
        <v/>
      </c>
      <c r="L16" s="2">
        <f t="shared" ca="1" si="1"/>
        <v>-4.8638977308254729E-3</v>
      </c>
    </row>
    <row r="17" spans="4:12" x14ac:dyDescent="0.25">
      <c r="D17" s="2"/>
      <c r="E17" s="2"/>
      <c r="F17">
        <v>71.919824253929733</v>
      </c>
      <c r="G17" s="2">
        <f>SUM(INDEX(Trail_Json_Import[Column1.distance],1):Trail_Json_Import[[#This Row],[Column1.distance]])</f>
        <v>454.19620219525439</v>
      </c>
      <c r="H17" s="2">
        <v>245.78224300383329</v>
      </c>
      <c r="I17" s="2" cm="1">
        <f t="array" aca="1" ref="I17" ca="1">IF(INDIRECT(ADDRESS(ROW(),COLUMN()-1))&lt;&gt;"",INDIRECT(ADDRESS(ROW(),COLUMN()-1)) - INDIRECT(ADDRESS(ROW()-1,COLUMN()-1)),"")</f>
        <v>-0.23865419514854125</v>
      </c>
      <c r="J17" s="2" cm="1">
        <f t="array" aca="1" ref="J17" ca="1">INDEX(I:I,ROW())/INDEX(F:F,ROW())</f>
        <v>-3.318336739894092E-3</v>
      </c>
      <c r="K17" s="2" t="str">
        <f t="shared" ca="1" si="0"/>
        <v/>
      </c>
      <c r="L17" s="2">
        <f t="shared" ca="1" si="1"/>
        <v>-3.318336739894092E-3</v>
      </c>
    </row>
    <row r="18" spans="4:12" x14ac:dyDescent="0.25">
      <c r="D18" s="2"/>
      <c r="E18" s="2"/>
      <c r="F18">
        <v>71.919826548199623</v>
      </c>
      <c r="G18" s="2">
        <f>SUM(INDEX(Trail_Json_Import[Column1.distance],1):Trail_Json_Import[[#This Row],[Column1.distance]])</f>
        <v>526.11602874345397</v>
      </c>
      <c r="H18" s="2">
        <v>245.54358881633755</v>
      </c>
      <c r="I18" s="2" cm="1">
        <f t="array" aca="1" ref="I18" ca="1">IF(INDIRECT(ADDRESS(ROW(),COLUMN()-1))&lt;&gt;"",INDIRECT(ADDRESS(ROW(),COLUMN()-1)) - INDIRECT(ADDRESS(ROW()-1,COLUMN()-1)),"")</f>
        <v>-0.23865418749574019</v>
      </c>
      <c r="J18" s="2" cm="1">
        <f t="array" aca="1" ref="J18" ca="1">INDEX(I:I,ROW())/INDEX(F:F,ROW())</f>
        <v>-3.3183365276304943E-3</v>
      </c>
      <c r="K18" s="2" t="str">
        <f t="shared" ca="1" si="0"/>
        <v/>
      </c>
      <c r="L18" s="2">
        <f t="shared" ca="1" si="1"/>
        <v>-3.3183365276304943E-3</v>
      </c>
    </row>
    <row r="19" spans="4:12" x14ac:dyDescent="0.25">
      <c r="D19" s="2"/>
      <c r="E19" s="2"/>
      <c r="F19">
        <v>71.919828844717941</v>
      </c>
      <c r="G19" s="2">
        <f>SUM(INDEX(Trail_Json_Import[Column1.distance],1):Trail_Json_Import[[#This Row],[Column1.distance]])</f>
        <v>598.03585758817189</v>
      </c>
      <c r="H19" s="2">
        <v>245.30493463649353</v>
      </c>
      <c r="I19" s="2" cm="1">
        <f t="array" aca="1" ref="I19" ca="1">IF(INDIRECT(ADDRESS(ROW(),COLUMN()-1))&lt;&gt;"",INDIRECT(ADDRESS(ROW(),COLUMN()-1)) - INDIRECT(ADDRESS(ROW()-1,COLUMN()-1)),"")</f>
        <v>-0.23865417984401915</v>
      </c>
      <c r="J19" s="2" cm="1">
        <f t="array" aca="1" ref="J19" ca="1">INDEX(I:I,ROW())/INDEX(F:F,ROW())</f>
        <v>-3.3183363152781862E-3</v>
      </c>
      <c r="K19" s="2" t="str">
        <f t="shared" ca="1" si="0"/>
        <v/>
      </c>
      <c r="L19" s="2">
        <f t="shared" ca="1" si="1"/>
        <v>-3.3183363152781862E-3</v>
      </c>
    </row>
    <row r="20" spans="4:12" x14ac:dyDescent="0.25">
      <c r="D20" s="2"/>
      <c r="E20" s="2"/>
      <c r="F20">
        <v>71.919831142359982</v>
      </c>
      <c r="G20" s="2">
        <f>SUM(INDEX(Trail_Json_Import[Column1.distance],1):Trail_Json_Import[[#This Row],[Column1.distance]])</f>
        <v>669.95568873053185</v>
      </c>
      <c r="H20" s="2">
        <v>245.06628046429995</v>
      </c>
      <c r="I20" s="2" cm="1">
        <f t="array" aca="1" ref="I20" ca="1">IF(INDIRECT(ADDRESS(ROW(),COLUMN()-1))&lt;&gt;"",INDIRECT(ADDRESS(ROW(),COLUMN()-1)) - INDIRECT(ADDRESS(ROW()-1,COLUMN()-1)),"")</f>
        <v>-0.2386541721935771</v>
      </c>
      <c r="J20" s="2" cm="1">
        <f t="array" aca="1" ref="J20" ca="1">INDEX(I:I,ROW())/INDEX(F:F,ROW())</f>
        <v>-3.3183361028918273E-3</v>
      </c>
      <c r="K20" s="2" t="str">
        <f t="shared" ca="1" si="0"/>
        <v/>
      </c>
      <c r="L20" s="2">
        <f t="shared" ca="1" si="1"/>
        <v>-3.3183361028918273E-3</v>
      </c>
    </row>
    <row r="21" spans="4:12" x14ac:dyDescent="0.25">
      <c r="D21" s="2"/>
      <c r="E21" s="2"/>
      <c r="F21">
        <v>71.919833437751734</v>
      </c>
      <c r="G21" s="2">
        <f>SUM(INDEX(Trail_Json_Import[Column1.distance],1):Trail_Json_Import[[#This Row],[Column1.distance]])</f>
        <v>741.87552216828362</v>
      </c>
      <c r="H21" s="2">
        <v>244.827626299755</v>
      </c>
      <c r="I21" s="2" cm="1">
        <f t="array" aca="1" ref="I21" ca="1">IF(INDIRECT(ADDRESS(ROW(),COLUMN()-1))&lt;&gt;"",INDIRECT(ADDRESS(ROW(),COLUMN()-1)) - INDIRECT(ADDRESS(ROW()-1,COLUMN()-1)),"")</f>
        <v>-0.23865416454495403</v>
      </c>
      <c r="J21" s="2" cm="1">
        <f t="array" aca="1" ref="J21" ca="1">INDEX(I:I,ROW())/INDEX(F:F,ROW())</f>
        <v>-3.3183358906346007E-3</v>
      </c>
      <c r="K21" s="2" t="str">
        <f t="shared" ca="1" si="0"/>
        <v/>
      </c>
      <c r="L21" s="2">
        <f t="shared" ca="1" si="1"/>
        <v>-3.3183358906346007E-3</v>
      </c>
    </row>
    <row r="22" spans="4:12" x14ac:dyDescent="0.25">
      <c r="D22" s="2"/>
      <c r="E22" s="2"/>
      <c r="F22">
        <v>71.919835736506059</v>
      </c>
      <c r="G22" s="2">
        <f>SUM(INDEX(Trail_Json_Import[Column1.distance],1):Trail_Json_Import[[#This Row],[Column1.distance]])</f>
        <v>813.79535790478963</v>
      </c>
      <c r="H22" s="2">
        <v>244.58897214285719</v>
      </c>
      <c r="I22" s="2" cm="1">
        <f t="array" aca="1" ref="I22" ca="1">IF(INDIRECT(ADDRESS(ROW(),COLUMN()-1))&lt;&gt;"",INDIRECT(ADDRESS(ROW(),COLUMN()-1)) - INDIRECT(ADDRESS(ROW()-1,COLUMN()-1)),"")</f>
        <v>-0.23865415689780889</v>
      </c>
      <c r="J22" s="2" cm="1">
        <f t="array" aca="1" ref="J22" ca="1">INDEX(I:I,ROW())/INDEX(F:F,ROW())</f>
        <v>-3.31833567824279E-3</v>
      </c>
      <c r="K22" s="2" t="str">
        <f t="shared" ca="1" si="0"/>
        <v/>
      </c>
      <c r="L22" s="2">
        <f t="shared" ca="1" si="1"/>
        <v>-3.31833567824279E-3</v>
      </c>
    </row>
    <row r="23" spans="4:12" x14ac:dyDescent="0.25">
      <c r="D23" s="2"/>
      <c r="E23" s="2"/>
      <c r="F23">
        <v>71.919838035275205</v>
      </c>
      <c r="G23" s="2">
        <f>SUM(INDEX(Trail_Json_Import[Column1.distance],1):Trail_Json_Import[[#This Row],[Column1.distance]])</f>
        <v>885.71519594006486</v>
      </c>
      <c r="H23" s="2">
        <v>244.35031799360547</v>
      </c>
      <c r="I23" s="2" cm="1">
        <f t="array" aca="1" ref="I23" ca="1">IF(INDIRECT(ADDRESS(ROW(),COLUMN()-1))&lt;&gt;"",INDIRECT(ADDRESS(ROW(),COLUMN()-1)) - INDIRECT(ADDRESS(ROW()-1,COLUMN()-1)),"")</f>
        <v>-0.23865414925171535</v>
      </c>
      <c r="J23" s="2" cm="1">
        <f t="array" aca="1" ref="J23" ca="1">INDEX(I:I,ROW())/INDEX(F:F,ROW())</f>
        <v>-3.3183354658649312E-3</v>
      </c>
      <c r="K23" s="2" t="str">
        <f t="shared" ca="1" si="0"/>
        <v/>
      </c>
      <c r="L23" s="2">
        <f t="shared" ca="1" si="1"/>
        <v>-3.3183354658649312E-3</v>
      </c>
    </row>
    <row r="24" spans="4:12" x14ac:dyDescent="0.25">
      <c r="D24" s="2"/>
      <c r="E24" s="2"/>
      <c r="F24">
        <v>71.91984033403817</v>
      </c>
      <c r="G24" s="2">
        <f>SUM(INDEX(Trail_Json_Import[Column1.distance],1):Trail_Json_Import[[#This Row],[Column1.distance]])</f>
        <v>957.63503627410307</v>
      </c>
      <c r="H24" s="2">
        <v>244.11166385199795</v>
      </c>
      <c r="I24" s="2" cm="1">
        <f t="array" aca="1" ref="I24" ca="1">IF(INDIRECT(ADDRESS(ROW(),COLUMN()-1))&lt;&gt;"",INDIRECT(ADDRESS(ROW(),COLUMN()-1)) - INDIRECT(ADDRESS(ROW()-1,COLUMN()-1)),"")</f>
        <v>-0.23865414160752607</v>
      </c>
      <c r="J24" s="2" cm="1">
        <f t="array" aca="1" ref="J24" ca="1">INDEX(I:I,ROW())/INDEX(F:F,ROW())</f>
        <v>-3.3183352535138488E-3</v>
      </c>
      <c r="K24" s="2" t="str">
        <f t="shared" ca="1" si="0"/>
        <v/>
      </c>
      <c r="L24" s="2">
        <f t="shared" ca="1" si="1"/>
        <v>-3.3183352535138488E-3</v>
      </c>
    </row>
    <row r="25" spans="4:12" x14ac:dyDescent="0.25">
      <c r="D25" s="2"/>
      <c r="E25" s="2"/>
      <c r="F25">
        <v>71.919842631670235</v>
      </c>
      <c r="G25" s="2">
        <f>SUM(INDEX(Trail_Json_Import[Column1.distance],1):Trail_Json_Import[[#This Row],[Column1.distance]])</f>
        <v>1029.5548789057734</v>
      </c>
      <c r="H25" s="2">
        <v>243.87300971803339</v>
      </c>
      <c r="I25" s="2" cm="1">
        <f t="array" aca="1" ref="I25" ca="1">IF(INDIRECT(ADDRESS(ROW(),COLUMN()-1))&lt;&gt;"",INDIRECT(ADDRESS(ROW(),COLUMN()-1)) - INDIRECT(ADDRESS(ROW()-1,COLUMN()-1)),"")</f>
        <v>-0.23865413396455892</v>
      </c>
      <c r="J25" s="2" cm="1">
        <f t="array" aca="1" ref="J25" ca="1">INDEX(I:I,ROW())/INDEX(F:F,ROW())</f>
        <v>-3.3183350412319518E-3</v>
      </c>
      <c r="K25" s="2" t="str">
        <f t="shared" ca="1" si="0"/>
        <v/>
      </c>
      <c r="L25" s="2">
        <f t="shared" ca="1" si="1"/>
        <v>-3.3183350412319518E-3</v>
      </c>
    </row>
    <row r="26" spans="4:12" x14ac:dyDescent="0.25">
      <c r="D26" s="2"/>
      <c r="E26" s="2"/>
      <c r="F26">
        <v>71.919844930431296</v>
      </c>
      <c r="G26" s="2">
        <f>SUM(INDEX(Trail_Json_Import[Column1.distance],1):Trail_Json_Import[[#This Row],[Column1.distance]])</f>
        <v>1101.4747238362047</v>
      </c>
      <c r="H26" s="2">
        <v>243.63435559171063</v>
      </c>
      <c r="I26" s="2" cm="1">
        <f t="array" aca="1" ref="I26" ca="1">IF(INDIRECT(ADDRESS(ROW(),COLUMN()-1))&lt;&gt;"",INDIRECT(ADDRESS(ROW(),COLUMN()-1)) - INDIRECT(ADDRESS(ROW()-1,COLUMN()-1)),"")</f>
        <v>-0.23865412632275707</v>
      </c>
      <c r="J26" s="2" cm="1">
        <f t="array" aca="1" ref="J26" ca="1">INDEX(I:I,ROW())/INDEX(F:F,ROW())</f>
        <v>-3.3183348289141795E-3</v>
      </c>
      <c r="K26" s="2" t="str">
        <f t="shared" ca="1" si="0"/>
        <v/>
      </c>
      <c r="L26" s="2">
        <f t="shared" ca="1" si="1"/>
        <v>-3.3183348289141795E-3</v>
      </c>
    </row>
    <row r="27" spans="4:12" x14ac:dyDescent="0.25">
      <c r="D27" s="2"/>
      <c r="E27" s="2"/>
      <c r="F27">
        <v>71.919847232565488</v>
      </c>
      <c r="G27" s="2">
        <f>SUM(INDEX(Trail_Json_Import[Column1.distance],1):Trail_Json_Import[[#This Row],[Column1.distance]])</f>
        <v>1173.3945710687701</v>
      </c>
      <c r="H27" s="2">
        <v>243.3957014730274</v>
      </c>
      <c r="I27" s="2" cm="1">
        <f t="array" aca="1" ref="I27" ca="1">IF(INDIRECT(ADDRESS(ROW(),COLUMN()-1))&lt;&gt;"",INDIRECT(ADDRESS(ROW(),COLUMN()-1)) - INDIRECT(ADDRESS(ROW()-1,COLUMN()-1)),"")</f>
        <v>-0.23865411868322894</v>
      </c>
      <c r="J27" s="2" cm="1">
        <f t="array" aca="1" ref="J27" ca="1">INDEX(I:I,ROW())/INDEX(F:F,ROW())</f>
        <v>-3.3183346164724022E-3</v>
      </c>
      <c r="K27" s="2" t="str">
        <f t="shared" ca="1" si="0"/>
        <v/>
      </c>
      <c r="L27" s="2">
        <f t="shared" ca="1" si="1"/>
        <v>-3.3183346164724022E-3</v>
      </c>
    </row>
    <row r="28" spans="4:12" x14ac:dyDescent="0.25">
      <c r="D28" s="2"/>
      <c r="E28" s="2"/>
      <c r="F28">
        <v>71.919849530194725</v>
      </c>
      <c r="G28" s="2">
        <f>SUM(INDEX(Trail_Json_Import[Column1.distance],1):Trail_Json_Import[[#This Row],[Column1.distance]])</f>
        <v>1245.3144205989649</v>
      </c>
      <c r="H28" s="2">
        <v>243.15704736198504</v>
      </c>
      <c r="I28" s="2" cm="1">
        <f t="array" aca="1" ref="I28" ca="1">IF(INDIRECT(ADDRESS(ROW(),COLUMN()-1))&lt;&gt;"",INDIRECT(ADDRESS(ROW(),COLUMN()-1)) - INDIRECT(ADDRESS(ROW()-1,COLUMN()-1)),"")</f>
        <v>-0.238654111042365</v>
      </c>
      <c r="J28" s="2" cm="1">
        <f t="array" aca="1" ref="J28" ca="1">INDEX(I:I,ROW())/INDEX(F:F,ROW())</f>
        <v>-3.3183344042199202E-3</v>
      </c>
      <c r="K28" s="2" t="str">
        <f t="shared" ca="1" si="0"/>
        <v/>
      </c>
      <c r="L28" s="2">
        <f t="shared" ca="1" si="1"/>
        <v>-3.3183344042199202E-3</v>
      </c>
    </row>
    <row r="29" spans="4:12" x14ac:dyDescent="0.25">
      <c r="D29" s="2"/>
      <c r="E29" s="2"/>
      <c r="F29">
        <v>48.265564664512013</v>
      </c>
      <c r="G29" s="2">
        <f>SUM(INDEX(Trail_Json_Import[Column1.distance],1):Trail_Json_Import[[#This Row],[Column1.distance]])</f>
        <v>1293.5799852634771</v>
      </c>
      <c r="H29" s="2">
        <v>242.99737645401069</v>
      </c>
      <c r="I29" s="2" cm="1">
        <f t="array" aca="1" ref="I29" ca="1">IF(INDIRECT(ADDRESS(ROW(),COLUMN()-1))&lt;&gt;"",INDIRECT(ADDRESS(ROW(),COLUMN()-1)) - INDIRECT(ADDRESS(ROW()-1,COLUMN()-1)),"")</f>
        <v>-0.1596709079743448</v>
      </c>
      <c r="J29" s="2" cm="1">
        <f t="array" aca="1" ref="J29" ca="1">INDEX(I:I,ROW())/INDEX(F:F,ROW())</f>
        <v>-3.3081744528256863E-3</v>
      </c>
      <c r="K29" s="2" t="str">
        <f t="shared" ca="1" si="0"/>
        <v/>
      </c>
      <c r="L29" s="2">
        <f t="shared" ca="1" si="1"/>
        <v>-3.3081744528256863E-3</v>
      </c>
    </row>
    <row r="30" spans="4:12" x14ac:dyDescent="0.25">
      <c r="D30" s="2"/>
      <c r="E30" s="2"/>
      <c r="F30">
        <v>71.919853998215643</v>
      </c>
      <c r="G30" s="2">
        <f>SUM(INDEX(Trail_Json_Import[Column1.distance],1):Trail_Json_Import[[#This Row],[Column1.distance]])</f>
        <v>1365.4998392616926</v>
      </c>
      <c r="H30" s="2">
        <v>242.9295058158402</v>
      </c>
      <c r="I30" s="2" cm="1">
        <f t="array" aca="1" ref="I30" ca="1">IF(INDIRECT(ADDRESS(ROW(),COLUMN()-1))&lt;&gt;"",INDIRECT(ADDRESS(ROW(),COLUMN()-1)) - INDIRECT(ADDRESS(ROW()-1,COLUMN()-1)),"")</f>
        <v>-6.7870638170489883E-2</v>
      </c>
      <c r="J30" s="2" cm="1">
        <f t="array" aca="1" ref="J30" ca="1">INDEX(I:I,ROW())/INDEX(F:F,ROW())</f>
        <v>-9.4369821957889096E-4</v>
      </c>
      <c r="K30" s="2" t="str">
        <f t="shared" ca="1" si="0"/>
        <v/>
      </c>
      <c r="L30" s="2">
        <f t="shared" ca="1" si="1"/>
        <v>-9.4369821957889096E-4</v>
      </c>
    </row>
    <row r="31" spans="4:12" x14ac:dyDescent="0.25">
      <c r="D31" s="2"/>
      <c r="E31" s="2"/>
      <c r="F31">
        <v>71.919853677144502</v>
      </c>
      <c r="G31" s="2">
        <f>SUM(INDEX(Trail_Json_Import[Column1.distance],1):Trail_Json_Import[[#This Row],[Column1.distance]])</f>
        <v>1437.4196929388372</v>
      </c>
      <c r="H31" s="2">
        <v>242.86163517736591</v>
      </c>
      <c r="I31" s="2" cm="1">
        <f t="array" aca="1" ref="I31" ca="1">IF(INDIRECT(ADDRESS(ROW(),COLUMN()-1))&lt;&gt;"",INDIRECT(ADDRESS(ROW(),COLUMN()-1)) - INDIRECT(ADDRESS(ROW()-1,COLUMN()-1)),"")</f>
        <v>-6.7870638474289535E-2</v>
      </c>
      <c r="J31" s="2" cm="1">
        <f t="array" aca="1" ref="J31" ca="1">INDEX(I:I,ROW())/INDEX(F:F,ROW())</f>
        <v>-9.4369822801597587E-4</v>
      </c>
      <c r="K31" s="2" t="str">
        <f t="shared" ca="1" si="0"/>
        <v/>
      </c>
      <c r="L31" s="2">
        <f t="shared" ca="1" si="1"/>
        <v>-9.4369822801597587E-4</v>
      </c>
    </row>
    <row r="32" spans="4:12" x14ac:dyDescent="0.25">
      <c r="D32" s="2"/>
      <c r="E32" s="2"/>
      <c r="F32">
        <v>71.919853355326126</v>
      </c>
      <c r="G32" s="2">
        <f>SUM(INDEX(Trail_Json_Import[Column1.distance],1):Trail_Json_Import[[#This Row],[Column1.distance]])</f>
        <v>1509.3395462941633</v>
      </c>
      <c r="H32" s="2">
        <v>242.79376453858788</v>
      </c>
      <c r="I32" s="2" cm="1">
        <f t="array" aca="1" ref="I32" ca="1">IF(INDIRECT(ADDRESS(ROW(),COLUMN()-1))&lt;&gt;"",INDIRECT(ADDRESS(ROW(),COLUMN()-1)) - INDIRECT(ADDRESS(ROW()-1,COLUMN()-1)),"")</f>
        <v>-6.7870638778032344E-2</v>
      </c>
      <c r="J32" s="2" cm="1">
        <f t="array" aca="1" ref="J32" ca="1">INDEX(I:I,ROW())/INDEX(F:F,ROW())</f>
        <v>-9.4369823646207548E-4</v>
      </c>
      <c r="K32" s="2" t="str">
        <f t="shared" ca="1" si="0"/>
        <v/>
      </c>
      <c r="L32" s="2">
        <f t="shared" ca="1" si="1"/>
        <v>-9.4369823646207548E-4</v>
      </c>
    </row>
    <row r="33" spans="4:12" x14ac:dyDescent="0.25">
      <c r="D33" s="2"/>
      <c r="E33" s="2"/>
      <c r="F33">
        <v>71.919853032760543</v>
      </c>
      <c r="G33" s="2">
        <f>SUM(INDEX(Trail_Json_Import[Column1.distance],1):Trail_Json_Import[[#This Row],[Column1.distance]])</f>
        <v>1581.2593993269238</v>
      </c>
      <c r="H33" s="2">
        <v>242.72589389950599</v>
      </c>
      <c r="I33" s="2" cm="1">
        <f t="array" aca="1" ref="I33" ca="1">IF(INDIRECT(ADDRESS(ROW(),COLUMN()-1))&lt;&gt;"",INDIRECT(ADDRESS(ROW(),COLUMN()-1)) - INDIRECT(ADDRESS(ROW()-1,COLUMN()-1)),"")</f>
        <v>-6.7870639081888839E-2</v>
      </c>
      <c r="J33" s="2" cm="1">
        <f t="array" aca="1" ref="J33" ca="1">INDEX(I:I,ROW())/INDEX(F:F,ROW())</f>
        <v>-9.436982449195603E-4</v>
      </c>
      <c r="K33" s="2" t="str">
        <f t="shared" ca="1" si="0"/>
        <v/>
      </c>
      <c r="L33" s="2">
        <f t="shared" ca="1" si="1"/>
        <v>-9.436982449195603E-4</v>
      </c>
    </row>
    <row r="34" spans="4:12" x14ac:dyDescent="0.25">
      <c r="D34" s="2"/>
      <c r="E34" s="2"/>
      <c r="F34">
        <v>71.919852710861676</v>
      </c>
      <c r="G34" s="2">
        <f>SUM(INDEX(Trail_Json_Import[Column1.distance],1):Trail_Json_Import[[#This Row],[Column1.distance]])</f>
        <v>1653.1792520377855</v>
      </c>
      <c r="H34" s="2">
        <v>242.6580232601203</v>
      </c>
      <c r="I34" s="2" cm="1">
        <f t="array" aca="1" ref="I34" ca="1">IF(INDIRECT(ADDRESS(ROW(),COLUMN()-1))&lt;&gt;"",INDIRECT(ADDRESS(ROW(),COLUMN()-1)) - INDIRECT(ADDRESS(ROW()-1,COLUMN()-1)),"")</f>
        <v>-6.7870639385688492E-2</v>
      </c>
      <c r="J34" s="2" cm="1">
        <f t="array" aca="1" ref="J34" ca="1">INDEX(I:I,ROW())/INDEX(F:F,ROW())</f>
        <v>-9.4369825336750653E-4</v>
      </c>
      <c r="K34" s="2" t="str">
        <f t="shared" ca="1" si="0"/>
        <v/>
      </c>
      <c r="L34" s="2">
        <f t="shared" ca="1" si="1"/>
        <v>-9.4369825336750653E-4</v>
      </c>
    </row>
    <row r="35" spans="4:12" x14ac:dyDescent="0.25">
      <c r="D35" s="2"/>
      <c r="E35" s="2"/>
      <c r="F35">
        <v>71.919852389738267</v>
      </c>
      <c r="G35" s="2">
        <f>SUM(INDEX(Trail_Json_Import[Column1.distance],1):Trail_Json_Import[[#This Row],[Column1.distance]])</f>
        <v>1725.0991044275238</v>
      </c>
      <c r="H35" s="2">
        <v>242.59015262043081</v>
      </c>
      <c r="I35" s="2" cm="1">
        <f t="array" aca="1" ref="I35" ca="1">IF(INDIRECT(ADDRESS(ROW(),COLUMN()-1))&lt;&gt;"",INDIRECT(ADDRESS(ROW(),COLUMN()-1)) - INDIRECT(ADDRESS(ROW()-1,COLUMN()-1)),"")</f>
        <v>-6.7870639689488144E-2</v>
      </c>
      <c r="J35" s="2" cm="1">
        <f t="array" aca="1" ref="J35" ca="1">INDEX(I:I,ROW())/INDEX(F:F,ROW())</f>
        <v>-9.4369826180527763E-4</v>
      </c>
      <c r="K35" s="2" t="str">
        <f t="shared" ca="1" si="0"/>
        <v/>
      </c>
      <c r="L35" s="2">
        <f t="shared" ca="1" si="1"/>
        <v>-9.4369826180527763E-4</v>
      </c>
    </row>
    <row r="36" spans="4:12" x14ac:dyDescent="0.25">
      <c r="D36" s="2"/>
      <c r="E36" s="2"/>
      <c r="F36">
        <v>71.919852065746809</v>
      </c>
      <c r="G36" s="2">
        <f>SUM(INDEX(Trail_Json_Import[Column1.distance],1):Trail_Json_Import[[#This Row],[Column1.distance]])</f>
        <v>1797.0189564932707</v>
      </c>
      <c r="H36" s="2">
        <v>242.52228198043761</v>
      </c>
      <c r="I36" s="2" cm="1">
        <f t="array" aca="1" ref="I36" ca="1">IF(INDIRECT(ADDRESS(ROW(),COLUMN()-1))&lt;&gt;"",INDIRECT(ADDRESS(ROW(),COLUMN()-1)) - INDIRECT(ADDRESS(ROW()-1,COLUMN()-1)),"")</f>
        <v>-6.7870639993202531E-2</v>
      </c>
      <c r="J36" s="2" cm="1">
        <f t="array" aca="1" ref="J36" ca="1">INDEX(I:I,ROW())/INDEX(F:F,ROW())</f>
        <v>-9.4369827027949646E-4</v>
      </c>
      <c r="K36" s="2" t="str">
        <f t="shared" ca="1" si="0"/>
        <v/>
      </c>
      <c r="L36" s="2">
        <f t="shared" ca="1" si="1"/>
        <v>-9.4369827027949646E-4</v>
      </c>
    </row>
    <row r="37" spans="4:12" x14ac:dyDescent="0.25">
      <c r="D37" s="2"/>
      <c r="E37" s="2"/>
      <c r="F37">
        <v>71.91985174532239</v>
      </c>
      <c r="G37" s="2">
        <f>SUM(INDEX(Trail_Json_Import[Column1.distance],1):Trail_Json_Import[[#This Row],[Column1.distance]])</f>
        <v>1868.9388082385931</v>
      </c>
      <c r="H37" s="2">
        <v>242.45441134014061</v>
      </c>
      <c r="I37" s="2" cm="1">
        <f t="array" aca="1" ref="I37" ca="1">IF(INDIRECT(ADDRESS(ROW(),COLUMN()-1))&lt;&gt;"",INDIRECT(ADDRESS(ROW(),COLUMN()-1)) - INDIRECT(ADDRESS(ROW()-1,COLUMN()-1)),"")</f>
        <v>-6.7870640297002183E-2</v>
      </c>
      <c r="J37" s="2" cm="1">
        <f t="array" aca="1" ref="J37" ca="1">INDEX(I:I,ROW())/INDEX(F:F,ROW())</f>
        <v>-9.4369827870809586E-4</v>
      </c>
      <c r="K37" s="2" t="str">
        <f t="shared" ca="1" si="0"/>
        <v/>
      </c>
      <c r="L37" s="2">
        <f t="shared" ca="1" si="1"/>
        <v>-9.4369827870809586E-4</v>
      </c>
    </row>
    <row r="38" spans="4:12" x14ac:dyDescent="0.25">
      <c r="D38" s="2"/>
      <c r="E38" s="2"/>
      <c r="F38">
        <v>71.919851423443802</v>
      </c>
      <c r="G38" s="2">
        <f>SUM(INDEX(Trail_Json_Import[Column1.distance],1):Trail_Json_Import[[#This Row],[Column1.distance]])</f>
        <v>1940.8586596620369</v>
      </c>
      <c r="H38" s="2">
        <v>242.38654069953975</v>
      </c>
      <c r="I38" s="2" cm="1">
        <f t="array" aca="1" ref="I38" ca="1">IF(INDIRECT(ADDRESS(ROW(),COLUMN()-1))&lt;&gt;"",INDIRECT(ADDRESS(ROW(),COLUMN()-1)) - INDIRECT(ADDRESS(ROW()-1,COLUMN()-1)),"")</f>
        <v>-6.7870640600858678E-2</v>
      </c>
      <c r="J38" s="2" cm="1">
        <f t="array" aca="1" ref="J38" ca="1">INDEX(I:I,ROW())/INDEX(F:F,ROW())</f>
        <v>-9.4369828715656662E-4</v>
      </c>
      <c r="K38" s="2" t="str">
        <f t="shared" ca="1" si="0"/>
        <v/>
      </c>
      <c r="L38" s="2">
        <f t="shared" ca="1" si="1"/>
        <v>-9.4369828715656662E-4</v>
      </c>
    </row>
    <row r="39" spans="4:12" x14ac:dyDescent="0.25">
      <c r="D39" s="2"/>
      <c r="E39" s="2"/>
      <c r="F39">
        <v>71.91985110085426</v>
      </c>
      <c r="G39" s="2">
        <f>SUM(INDEX(Trail_Json_Import[Column1.distance],1):Trail_Json_Import[[#This Row],[Column1.distance]])</f>
        <v>2012.7785107628911</v>
      </c>
      <c r="H39" s="2">
        <v>242.31867005863532</v>
      </c>
      <c r="I39" s="2" cm="1">
        <f t="array" aca="1" ref="I39" ca="1">IF(INDIRECT(ADDRESS(ROW(),COLUMN()-1))&lt;&gt;"",INDIRECT(ADDRESS(ROW(),COLUMN()-1)) - INDIRECT(ADDRESS(ROW()-1,COLUMN()-1)),"")</f>
        <v>-6.7870640904430957E-2</v>
      </c>
      <c r="J39" s="2" cm="1">
        <f t="array" aca="1" ref="J39" ca="1">INDEX(I:I,ROW())/INDEX(F:F,ROW())</f>
        <v>-9.4369829561041449E-4</v>
      </c>
      <c r="K39" s="2" t="str">
        <f t="shared" ca="1" si="0"/>
        <v/>
      </c>
      <c r="L39" s="2">
        <f t="shared" ca="1" si="1"/>
        <v>-9.4369829561041449E-4</v>
      </c>
    </row>
    <row r="40" spans="4:12" x14ac:dyDescent="0.25">
      <c r="D40" s="2"/>
      <c r="E40" s="2"/>
      <c r="F40">
        <v>48.255325986900615</v>
      </c>
      <c r="G40" s="2">
        <f>SUM(INDEX(Trail_Json_Import[Column1.distance],1):Trail_Json_Import[[#This Row],[Column1.distance]])</f>
        <v>2061.0338367497916</v>
      </c>
      <c r="H40" s="2">
        <v>242.38986053924299</v>
      </c>
      <c r="I40" s="2" cm="1">
        <f t="array" aca="1" ref="I40" ca="1">IF(INDIRECT(ADDRESS(ROW(),COLUMN()-1))&lt;&gt;"",INDIRECT(ADDRESS(ROW(),COLUMN()-1)) - INDIRECT(ADDRESS(ROW()-1,COLUMN()-1)),"")</f>
        <v>7.119048060766886E-2</v>
      </c>
      <c r="J40" s="2" cm="1">
        <f t="array" aca="1" ref="J40" ca="1">INDEX(I:I,ROW())/INDEX(F:F,ROW())</f>
        <v>1.4752875284065891E-3</v>
      </c>
      <c r="K40" s="2">
        <f t="shared" ca="1" si="0"/>
        <v>1.4752875284065891E-3</v>
      </c>
      <c r="L40" s="2" t="str">
        <f t="shared" ca="1" si="1"/>
        <v/>
      </c>
    </row>
    <row r="41" spans="4:12" x14ac:dyDescent="0.25">
      <c r="D41" s="2"/>
      <c r="E41" s="2"/>
      <c r="F41">
        <v>71.919859891791972</v>
      </c>
      <c r="G41" s="2">
        <f>SUM(INDEX(Trail_Json_Import[Column1.distance],1):Trail_Json_Import[[#This Row],[Column1.distance]])</f>
        <v>2132.9536966415835</v>
      </c>
      <c r="H41" s="2">
        <v>242.7194421624518</v>
      </c>
      <c r="I41" s="2" cm="1">
        <f t="array" aca="1" ref="I41" ca="1">IF(INDIRECT(ADDRESS(ROW(),COLUMN()-1))&lt;&gt;"",INDIRECT(ADDRESS(ROW(),COLUMN()-1)) - INDIRECT(ADDRESS(ROW()-1,COLUMN()-1)),"")</f>
        <v>0.32958162320881002</v>
      </c>
      <c r="J41" s="2" cm="1">
        <f t="array" aca="1" ref="J41" ca="1">INDEX(I:I,ROW())/INDEX(F:F,ROW())</f>
        <v>4.5826232657389301E-3</v>
      </c>
      <c r="K41" s="2">
        <f t="shared" ca="1" si="0"/>
        <v>4.5826232657389301E-3</v>
      </c>
      <c r="L41" s="2" t="str">
        <f t="shared" ca="1" si="1"/>
        <v/>
      </c>
    </row>
    <row r="42" spans="4:12" x14ac:dyDescent="0.25">
      <c r="D42" s="2"/>
      <c r="E42" s="2"/>
      <c r="F42">
        <v>71.919858092094998</v>
      </c>
      <c r="G42" s="2">
        <f>SUM(INDEX(Trail_Json_Import[Column1.distance],1):Trail_Json_Import[[#This Row],[Column1.distance]])</f>
        <v>2204.8735547336787</v>
      </c>
      <c r="H42" s="2">
        <v>243.04902379388091</v>
      </c>
      <c r="I42" s="2" cm="1">
        <f t="array" aca="1" ref="I42" ca="1">IF(INDIRECT(ADDRESS(ROW(),COLUMN()-1))&lt;&gt;"",INDIRECT(ADDRESS(ROW(),COLUMN()-1)) - INDIRECT(ADDRESS(ROW()-1,COLUMN()-1)),"")</f>
        <v>0.32958163142910735</v>
      </c>
      <c r="J42" s="2" cm="1">
        <f t="array" aca="1" ref="J42" ca="1">INDEX(I:I,ROW())/INDEX(F:F,ROW())</f>
        <v>4.5826234947108861E-3</v>
      </c>
      <c r="K42" s="2">
        <f t="shared" ca="1" si="0"/>
        <v>4.5826234947108861E-3</v>
      </c>
      <c r="L42" s="2" t="str">
        <f t="shared" ca="1" si="1"/>
        <v/>
      </c>
    </row>
    <row r="43" spans="4:12" x14ac:dyDescent="0.25">
      <c r="D43" s="2"/>
      <c r="E43" s="2"/>
      <c r="F43">
        <v>71.91985629690403</v>
      </c>
      <c r="G43" s="2">
        <f>SUM(INDEX(Trail_Json_Import[Column1.distance],1):Trail_Json_Import[[#This Row],[Column1.distance]])</f>
        <v>2276.7934110305828</v>
      </c>
      <c r="H43" s="2">
        <v>243.37860543353304</v>
      </c>
      <c r="I43" s="2" cm="1">
        <f t="array" aca="1" ref="I43" ca="1">IF(INDIRECT(ADDRESS(ROW(),COLUMN()-1))&lt;&gt;"",INDIRECT(ADDRESS(ROW(),COLUMN()-1)) - INDIRECT(ADDRESS(ROW()-1,COLUMN()-1)),"")</f>
        <v>0.32958163965213316</v>
      </c>
      <c r="J43" s="2" cm="1">
        <f t="array" aca="1" ref="J43" ca="1">INDEX(I:I,ROW())/INDEX(F:F,ROW())</f>
        <v>4.582623723433675E-3</v>
      </c>
      <c r="K43" s="2">
        <f t="shared" ca="1" si="0"/>
        <v>4.582623723433675E-3</v>
      </c>
      <c r="L43" s="2" t="str">
        <f t="shared" ca="1" si="1"/>
        <v/>
      </c>
    </row>
    <row r="44" spans="4:12" x14ac:dyDescent="0.25">
      <c r="D44" s="2"/>
      <c r="E44" s="2"/>
      <c r="F44">
        <v>71.919854498338708</v>
      </c>
      <c r="G44" s="2">
        <f>SUM(INDEX(Trail_Json_Import[Column1.distance],1):Trail_Json_Import[[#This Row],[Column1.distance]])</f>
        <v>2348.7132655289215</v>
      </c>
      <c r="H44" s="2">
        <v>243.70818708140919</v>
      </c>
      <c r="I44" s="2" cm="1">
        <f t="array" aca="1" ref="I44" ca="1">IF(INDIRECT(ADDRESS(ROW(),COLUMN()-1))&lt;&gt;"",INDIRECT(ADDRESS(ROW(),COLUMN()-1)) - INDIRECT(ADDRESS(ROW()-1,COLUMN()-1)),"")</f>
        <v>0.32958164787615374</v>
      </c>
      <c r="J44" s="2" cm="1">
        <f t="array" aca="1" ref="J44" ca="1">INDEX(I:I,ROW())/INDEX(F:F,ROW())</f>
        <v>4.5826239523853157E-3</v>
      </c>
      <c r="K44" s="2">
        <f t="shared" ca="1" si="0"/>
        <v>4.5826239523853157E-3</v>
      </c>
      <c r="L44" s="2" t="str">
        <f t="shared" ca="1" si="1"/>
        <v/>
      </c>
    </row>
    <row r="45" spans="4:12" x14ac:dyDescent="0.25">
      <c r="D45" s="2"/>
      <c r="E45" s="2"/>
      <c r="F45">
        <v>83.284363114992715</v>
      </c>
      <c r="G45" s="2">
        <f>SUM(INDEX(Trail_Json_Import[Column1.distance],1):Trail_Json_Import[[#This Row],[Column1.distance]])</f>
        <v>2431.9976286439141</v>
      </c>
      <c r="H45" s="2">
        <v>243.85646735361777</v>
      </c>
      <c r="I45" s="2" cm="1">
        <f t="array" aca="1" ref="I45" ca="1">IF(INDIRECT(ADDRESS(ROW(),COLUMN()-1))&lt;&gt;"",INDIRECT(ADDRESS(ROW(),COLUMN()-1)) - INDIRECT(ADDRESS(ROW()-1,COLUMN()-1)),"")</f>
        <v>0.14828027220858075</v>
      </c>
      <c r="J45" s="2" cm="1">
        <f t="array" aca="1" ref="J45" ca="1">INDEX(I:I,ROW())/INDEX(F:F,ROW())</f>
        <v>1.7804095110128492E-3</v>
      </c>
      <c r="K45" s="2">
        <f t="shared" ca="1" si="0"/>
        <v>1.7804095110128492E-3</v>
      </c>
      <c r="L45" s="2" t="str">
        <f t="shared" ca="1" si="1"/>
        <v/>
      </c>
    </row>
    <row r="46" spans="4:12" x14ac:dyDescent="0.25">
      <c r="D46" s="2"/>
      <c r="E46" s="2"/>
      <c r="F46">
        <v>71.9199092472698</v>
      </c>
      <c r="G46" s="2">
        <f>SUM(INDEX(Trail_Json_Import[Column1.distance],1):Trail_Json_Import[[#This Row],[Column1.distance]])</f>
        <v>2503.9175378911841</v>
      </c>
      <c r="H46" s="2">
        <v>243.48586939226453</v>
      </c>
      <c r="I46" s="2" cm="1">
        <f t="array" aca="1" ref="I46" ca="1">IF(INDIRECT(ADDRESS(ROW(),COLUMN()-1))&lt;&gt;"",INDIRECT(ADDRESS(ROW(),COLUMN()-1)) - INDIRECT(ADDRESS(ROW()-1,COLUMN()-1)),"")</f>
        <v>-0.37059796135324063</v>
      </c>
      <c r="J46" s="2" cm="1">
        <f t="array" aca="1" ref="J46" ca="1">INDEX(I:I,ROW())/INDEX(F:F,ROW())</f>
        <v>-5.152925875908404E-3</v>
      </c>
      <c r="K46" s="2" t="str">
        <f t="shared" ca="1" si="0"/>
        <v/>
      </c>
      <c r="L46" s="2">
        <f t="shared" ca="1" si="1"/>
        <v>-5.152925875908404E-3</v>
      </c>
    </row>
    <row r="47" spans="4:12" x14ac:dyDescent="0.25">
      <c r="D47" s="2"/>
      <c r="E47" s="2"/>
      <c r="F47">
        <v>71.919902776098297</v>
      </c>
      <c r="G47" s="2">
        <f>SUM(INDEX(Trail_Json_Import[Column1.distance],1):Trail_Json_Import[[#This Row],[Column1.distance]])</f>
        <v>2575.8374406672824</v>
      </c>
      <c r="H47" s="2">
        <v>243.11527139759932</v>
      </c>
      <c r="I47" s="2" cm="1">
        <f t="array" aca="1" ref="I47" ca="1">IF(INDIRECT(ADDRESS(ROW(),COLUMN()-1))&lt;&gt;"",INDIRECT(ADDRESS(ROW(),COLUMN()-1)) - INDIRECT(ADDRESS(ROW()-1,COLUMN()-1)),"")</f>
        <v>-0.37059799466521781</v>
      </c>
      <c r="J47" s="2" cm="1">
        <f t="array" aca="1" ref="J47" ca="1">INDEX(I:I,ROW())/INDEX(F:F,ROW())</f>
        <v>-5.1529268027373024E-3</v>
      </c>
      <c r="K47" s="2" t="str">
        <f t="shared" ca="1" si="0"/>
        <v/>
      </c>
      <c r="L47" s="2">
        <f t="shared" ca="1" si="1"/>
        <v>-5.1529268027373024E-3</v>
      </c>
    </row>
    <row r="48" spans="4:12" x14ac:dyDescent="0.25">
      <c r="D48" s="2"/>
      <c r="E48" s="2"/>
      <c r="F48">
        <v>71.919896303839295</v>
      </c>
      <c r="G48" s="2">
        <f>SUM(INDEX(Trail_Json_Import[Column1.distance],1):Trail_Json_Import[[#This Row],[Column1.distance]])</f>
        <v>2647.7573369711217</v>
      </c>
      <c r="H48" s="2">
        <v>242.7446733696201</v>
      </c>
      <c r="I48" s="2" cm="1">
        <f t="array" aca="1" ref="I48" ca="1">IF(INDIRECT(ADDRESS(ROW(),COLUMN()-1))&lt;&gt;"",INDIRECT(ADDRESS(ROW(),COLUMN()-1)) - INDIRECT(ADDRESS(ROW()-1,COLUMN()-1)),"")</f>
        <v>-0.37059802797921293</v>
      </c>
      <c r="J48" s="2" cm="1">
        <f t="array" aca="1" ref="J48" ca="1">INDEX(I:I,ROW())/INDEX(F:F,ROW())</f>
        <v>-5.1529277296723424E-3</v>
      </c>
      <c r="K48" s="2" t="str">
        <f t="shared" ca="1" si="0"/>
        <v/>
      </c>
      <c r="L48" s="2">
        <f t="shared" ca="1" si="1"/>
        <v>-5.1529277296723424E-3</v>
      </c>
    </row>
    <row r="49" spans="4:12" x14ac:dyDescent="0.25">
      <c r="D49" s="2"/>
      <c r="E49" s="2"/>
      <c r="F49">
        <v>71.919889833777162</v>
      </c>
      <c r="G49" s="2">
        <f>SUM(INDEX(Trail_Json_Import[Column1.distance],1):Trail_Json_Import[[#This Row],[Column1.distance]])</f>
        <v>2719.677226804899</v>
      </c>
      <c r="H49" s="2">
        <v>242.37407530832459</v>
      </c>
      <c r="I49" s="2" cm="1">
        <f t="array" aca="1" ref="I49" ca="1">IF(INDIRECT(ADDRESS(ROW(),COLUMN()-1))&lt;&gt;"",INDIRECT(ADDRESS(ROW(),COLUMN()-1)) - INDIRECT(ADDRESS(ROW()-1,COLUMN()-1)),"")</f>
        <v>-0.37059806129551021</v>
      </c>
      <c r="J49" s="2" cm="1">
        <f t="array" aca="1" ref="J49" ca="1">INDEX(I:I,ROW())/INDEX(F:F,ROW())</f>
        <v>-5.1529286564821588E-3</v>
      </c>
      <c r="K49" s="2" t="str">
        <f t="shared" ca="1" si="0"/>
        <v/>
      </c>
      <c r="L49" s="2">
        <f t="shared" ca="1" si="1"/>
        <v>-5.1529286564821588E-3</v>
      </c>
    </row>
    <row r="50" spans="4:12" x14ac:dyDescent="0.25">
      <c r="D50" s="2"/>
      <c r="E50" s="2"/>
      <c r="F50">
        <v>71.919883360364082</v>
      </c>
      <c r="G50" s="2">
        <f>SUM(INDEX(Trail_Json_Import[Column1.distance],1):Trail_Json_Import[[#This Row],[Column1.distance]])</f>
        <v>2791.5971101652631</v>
      </c>
      <c r="H50" s="2">
        <v>242.0034772137104</v>
      </c>
      <c r="I50" s="2" cm="1">
        <f t="array" aca="1" ref="I50" ca="1">IF(INDIRECT(ADDRESS(ROW(),COLUMN()-1))&lt;&gt;"",INDIRECT(ADDRESS(ROW(),COLUMN()-1)) - INDIRECT(ADDRESS(ROW()-1,COLUMN()-1)),"")</f>
        <v>-0.37059809461419491</v>
      </c>
      <c r="J50" s="2" cm="1">
        <f t="array" aca="1" ref="J50" ca="1">INDEX(I:I,ROW())/INDEX(F:F,ROW())</f>
        <v>-5.1529295835654257E-3</v>
      </c>
      <c r="K50" s="2" t="str">
        <f t="shared" ca="1" si="0"/>
        <v/>
      </c>
      <c r="L50" s="2">
        <f t="shared" ca="1" si="1"/>
        <v>-5.1529295835654257E-3</v>
      </c>
    </row>
    <row r="51" spans="4:12" x14ac:dyDescent="0.25">
      <c r="D51" s="2"/>
      <c r="E51" s="2"/>
      <c r="F51">
        <v>71.91987689256527</v>
      </c>
      <c r="G51" s="2">
        <f>SUM(INDEX(Trail_Json_Import[Column1.distance],1):Trail_Json_Import[[#This Row],[Column1.distance]])</f>
        <v>2863.5169870578284</v>
      </c>
      <c r="H51" s="2">
        <v>241.63287908577431</v>
      </c>
      <c r="I51" s="2" cm="1">
        <f t="array" aca="1" ref="I51" ca="1">IF(INDIRECT(ADDRESS(ROW(),COLUMN()-1))&lt;&gt;"",INDIRECT(ADDRESS(ROW(),COLUMN()-1)) - INDIRECT(ADDRESS(ROW()-1,COLUMN()-1)),"")</f>
        <v>-0.37059812793609126</v>
      </c>
      <c r="J51" s="2" cm="1">
        <f t="array" aca="1" ref="J51" ca="1">INDEX(I:I,ROW())/INDEX(F:F,ROW())</f>
        <v>-5.1529305102912641E-3</v>
      </c>
      <c r="K51" s="2" t="str">
        <f t="shared" ca="1" si="0"/>
        <v/>
      </c>
      <c r="L51" s="2">
        <f t="shared" ca="1" si="1"/>
        <v>-5.1529305102912641E-3</v>
      </c>
    </row>
    <row r="52" spans="4:12" x14ac:dyDescent="0.25">
      <c r="D52" s="2"/>
      <c r="E52" s="2"/>
      <c r="F52">
        <v>71.919870421356393</v>
      </c>
      <c r="G52" s="2">
        <f>SUM(INDEX(Trail_Json_Import[Column1.distance],1):Trail_Json_Import[[#This Row],[Column1.distance]])</f>
        <v>2935.4368574791847</v>
      </c>
      <c r="H52" s="2">
        <v>241.26228092451427</v>
      </c>
      <c r="I52" s="2" cm="1">
        <f t="array" aca="1" ref="I52" ca="1">IF(INDIRECT(ADDRESS(ROW(),COLUMN()-1))&lt;&gt;"",INDIRECT(ADDRESS(ROW(),COLUMN()-1)) - INDIRECT(ADDRESS(ROW()-1,COLUMN()-1)),"")</f>
        <v>-0.37059816126003398</v>
      </c>
      <c r="J52" s="2" cm="1">
        <f t="array" aca="1" ref="J52" ca="1">INDEX(I:I,ROW())/INDEX(F:F,ROW())</f>
        <v>-5.1529314372900474E-3</v>
      </c>
      <c r="K52" s="2" t="str">
        <f t="shared" ca="1" si="0"/>
        <v/>
      </c>
      <c r="L52" s="2">
        <f t="shared" ca="1" si="1"/>
        <v>-5.1529314372900474E-3</v>
      </c>
    </row>
    <row r="53" spans="4:12" x14ac:dyDescent="0.25">
      <c r="D53" s="2"/>
      <c r="E53" s="2"/>
      <c r="F53">
        <v>71.919863950184322</v>
      </c>
      <c r="G53" s="2">
        <f>SUM(INDEX(Trail_Json_Import[Column1.distance],1):Trail_Json_Import[[#This Row],[Column1.distance]])</f>
        <v>3007.3567214293689</v>
      </c>
      <c r="H53" s="2">
        <v>240.89168272993192</v>
      </c>
      <c r="I53" s="2" cm="1">
        <f t="array" aca="1" ref="I53" ca="1">IF(INDIRECT(ADDRESS(ROW(),COLUMN()-1))&lt;&gt;"",INDIRECT(ADDRESS(ROW(),COLUMN()-1)) - INDIRECT(ADDRESS(ROW()-1,COLUMN()-1)),"")</f>
        <v>-0.37059819458235665</v>
      </c>
      <c r="J53" s="2" cm="1">
        <f t="array" aca="1" ref="J53" ca="1">INDEX(I:I,ROW())/INDEX(F:F,ROW())</f>
        <v>-5.1529323642638351E-3</v>
      </c>
      <c r="K53" s="2" t="str">
        <f t="shared" ca="1" si="0"/>
        <v/>
      </c>
      <c r="L53" s="2">
        <f t="shared" ca="1" si="1"/>
        <v>-5.1529323642638351E-3</v>
      </c>
    </row>
    <row r="54" spans="4:12" x14ac:dyDescent="0.25">
      <c r="D54" s="2"/>
      <c r="E54" s="2"/>
      <c r="F54">
        <v>71.91985748344311</v>
      </c>
      <c r="G54" s="2">
        <f>SUM(INDEX(Trail_Json_Import[Column1.distance],1):Trail_Json_Import[[#This Row],[Column1.distance]])</f>
        <v>3079.2765789128121</v>
      </c>
      <c r="H54" s="2">
        <v>240.52108450202311</v>
      </c>
      <c r="I54" s="2" cm="1">
        <f t="array" aca="1" ref="I54" ca="1">IF(INDIRECT(ADDRESS(ROW(),COLUMN()-1))&lt;&gt;"",INDIRECT(ADDRESS(ROW(),COLUMN()-1)) - INDIRECT(ADDRESS(ROW()-1,COLUMN()-1)),"")</f>
        <v>-0.37059822790880048</v>
      </c>
      <c r="J54" s="2" cm="1">
        <f t="array" aca="1" ref="J54" ca="1">INDEX(I:I,ROW())/INDEX(F:F,ROW())</f>
        <v>-5.1529332909776276E-3</v>
      </c>
      <c r="K54" s="2" t="str">
        <f t="shared" ca="1" si="0"/>
        <v/>
      </c>
      <c r="L54" s="2">
        <f t="shared" ca="1" si="1"/>
        <v>-5.1529332909776276E-3</v>
      </c>
    </row>
    <row r="55" spans="4:12" x14ac:dyDescent="0.25">
      <c r="D55" s="2"/>
      <c r="E55" s="2"/>
      <c r="F55">
        <v>74.412156959272266</v>
      </c>
      <c r="G55" s="2">
        <f>SUM(INDEX(Trail_Json_Import[Column1.distance],1):Trail_Json_Import[[#This Row],[Column1.distance]])</f>
        <v>3153.6887358720842</v>
      </c>
      <c r="H55" s="2">
        <v>238.65836462102692</v>
      </c>
      <c r="I55" s="2" cm="1">
        <f t="array" aca="1" ref="I55" ca="1">IF(INDIRECT(ADDRESS(ROW(),COLUMN()-1))&lt;&gt;"",INDIRECT(ADDRESS(ROW(),COLUMN()-1)) - INDIRECT(ADDRESS(ROW()-1,COLUMN()-1)),"")</f>
        <v>-1.8627198809961953</v>
      </c>
      <c r="J55" s="2" cm="1">
        <f t="array" aca="1" ref="J55" ca="1">INDEX(I:I,ROW())/INDEX(F:F,ROW())</f>
        <v>-2.5032467235370035E-2</v>
      </c>
      <c r="K55" s="2" t="str">
        <f t="shared" ca="1" si="0"/>
        <v/>
      </c>
      <c r="L55" s="2">
        <f t="shared" ca="1" si="1"/>
        <v>-2.5032467235370035E-2</v>
      </c>
    </row>
    <row r="56" spans="4:12" x14ac:dyDescent="0.25">
      <c r="D56" s="2"/>
      <c r="E56" s="2"/>
      <c r="F56">
        <v>43.299042827530691</v>
      </c>
      <c r="G56" s="2">
        <f>SUM(INDEX(Trail_Json_Import[Column1.distance],1):Trail_Json_Import[[#This Row],[Column1.distance]])</f>
        <v>3196.9877786996149</v>
      </c>
      <c r="H56" s="2">
        <v>237.71979407282035</v>
      </c>
      <c r="I56" s="2" cm="1">
        <f t="array" aca="1" ref="I56" ca="1">IF(INDIRECT(ADDRESS(ROW(),COLUMN()-1))&lt;&gt;"",INDIRECT(ADDRESS(ROW(),COLUMN()-1)) - INDIRECT(ADDRESS(ROW()-1,COLUMN()-1)),"")</f>
        <v>-0.93857054820657027</v>
      </c>
      <c r="J56" s="2" cm="1">
        <f t="array" aca="1" ref="J56" ca="1">INDEX(I:I,ROW())/INDEX(F:F,ROW())</f>
        <v>-2.1676473356353317E-2</v>
      </c>
      <c r="K56" s="2" t="str">
        <f t="shared" ca="1" si="0"/>
        <v/>
      </c>
      <c r="L56" s="2">
        <f t="shared" ca="1" si="1"/>
        <v>-2.1676473356353317E-2</v>
      </c>
    </row>
    <row r="57" spans="4:12" x14ac:dyDescent="0.25">
      <c r="D57" s="2"/>
      <c r="E57" s="2"/>
      <c r="F57">
        <v>35.959946163454248</v>
      </c>
      <c r="G57" s="2">
        <f>SUM(INDEX(Trail_Json_Import[Column1.distance],1):Trail_Json_Import[[#This Row],[Column1.distance]])</f>
        <v>3232.9477248630692</v>
      </c>
      <c r="H57" s="2">
        <v>237.4044849775307</v>
      </c>
      <c r="I57" s="2" cm="1">
        <f t="array" aca="1" ref="I57" ca="1">IF(INDIRECT(ADDRESS(ROW(),COLUMN()-1))&lt;&gt;"",INDIRECT(ADDRESS(ROW(),COLUMN()-1)) - INDIRECT(ADDRESS(ROW()-1,COLUMN()-1)),"")</f>
        <v>-0.31530909528964912</v>
      </c>
      <c r="J57" s="2" cm="1">
        <f t="array" aca="1" ref="J57" ca="1">INDEX(I:I,ROW())/INDEX(F:F,ROW())</f>
        <v>-8.7683416948520013E-3</v>
      </c>
      <c r="K57" s="2" t="str">
        <f t="shared" ca="1" si="0"/>
        <v/>
      </c>
      <c r="L57" s="2">
        <f t="shared" ca="1" si="1"/>
        <v>-8.7683416948520013E-3</v>
      </c>
    </row>
    <row r="58" spans="4:12" x14ac:dyDescent="0.25">
      <c r="D58" s="2"/>
      <c r="E58" s="2"/>
      <c r="F58">
        <v>34.009531865924878</v>
      </c>
      <c r="G58" s="2">
        <f>SUM(INDEX(Trail_Json_Import[Column1.distance],1):Trail_Json_Import[[#This Row],[Column1.distance]])</f>
        <v>3266.9572567289943</v>
      </c>
      <c r="H58" s="2">
        <v>237.40087324333535</v>
      </c>
      <c r="I58" s="2" cm="1">
        <f t="array" aca="1" ref="I58" ca="1">IF(INDIRECT(ADDRESS(ROW(),COLUMN()-1))&lt;&gt;"",INDIRECT(ADDRESS(ROW(),COLUMN()-1)) - INDIRECT(ADDRESS(ROW()-1,COLUMN()-1)),"")</f>
        <v>-3.6117341953456616E-3</v>
      </c>
      <c r="J58" s="2" cm="1">
        <f t="array" aca="1" ref="J58" ca="1">INDEX(I:I,ROW())/INDEX(F:F,ROW())</f>
        <v>-1.0619770391383603E-4</v>
      </c>
      <c r="K58" s="2" t="str">
        <f t="shared" ca="1" si="0"/>
        <v/>
      </c>
      <c r="L58" s="2">
        <f t="shared" ca="1" si="1"/>
        <v>-1.0619770391383603E-4</v>
      </c>
    </row>
    <row r="59" spans="4:12" x14ac:dyDescent="0.25">
      <c r="D59" s="2"/>
      <c r="E59" s="2"/>
      <c r="F59">
        <v>35.959929826365581</v>
      </c>
      <c r="G59" s="2">
        <f>SUM(INDEX(Trail_Json_Import[Column1.distance],1):Trail_Json_Import[[#This Row],[Column1.distance]])</f>
        <v>3302.9171865553599</v>
      </c>
      <c r="H59" s="2">
        <v>237.5371831370378</v>
      </c>
      <c r="I59" s="2" cm="1">
        <f t="array" aca="1" ref="I59" ca="1">IF(INDIRECT(ADDRESS(ROW(),COLUMN()-1))&lt;&gt;"",INDIRECT(ADDRESS(ROW(),COLUMN()-1)) - INDIRECT(ADDRESS(ROW()-1,COLUMN()-1)),"")</f>
        <v>0.13630989370244606</v>
      </c>
      <c r="J59" s="2" cm="1">
        <f t="array" aca="1" ref="J59" ca="1">INDEX(I:I,ROW())/INDEX(F:F,ROW())</f>
        <v>3.7906051085367957E-3</v>
      </c>
      <c r="K59" s="2">
        <f t="shared" ca="1" si="0"/>
        <v>3.7906051085367957E-3</v>
      </c>
      <c r="L59" s="2" t="str">
        <f t="shared" ca="1" si="1"/>
        <v/>
      </c>
    </row>
    <row r="60" spans="4:12" x14ac:dyDescent="0.25">
      <c r="D60" s="2"/>
      <c r="E60" s="2"/>
      <c r="F60">
        <v>38.936552882450698</v>
      </c>
      <c r="G60" s="2">
        <f>SUM(INDEX(Trail_Json_Import[Column1.distance],1):Trail_Json_Import[[#This Row],[Column1.distance]])</f>
        <v>3341.8537394378104</v>
      </c>
      <c r="H60" s="2">
        <v>237.36251862933048</v>
      </c>
      <c r="I60" s="2" cm="1">
        <f t="array" aca="1" ref="I60" ca="1">IF(INDIRECT(ADDRESS(ROW(),COLUMN()-1))&lt;&gt;"",INDIRECT(ADDRESS(ROW(),COLUMN()-1)) - INDIRECT(ADDRESS(ROW()-1,COLUMN()-1)),"")</f>
        <v>-0.17466450770731967</v>
      </c>
      <c r="J60" s="2" cm="1">
        <f t="array" aca="1" ref="J60" ca="1">INDEX(I:I,ROW())/INDEX(F:F,ROW())</f>
        <v>-4.4858749626509346E-3</v>
      </c>
      <c r="K60" s="2" t="str">
        <f t="shared" ca="1" si="0"/>
        <v/>
      </c>
      <c r="L60" s="2">
        <f t="shared" ca="1" si="1"/>
        <v>-4.4858749626509346E-3</v>
      </c>
    </row>
    <row r="61" spans="4:12" x14ac:dyDescent="0.25">
      <c r="D61" s="2"/>
      <c r="E61" s="2"/>
      <c r="F61">
        <v>38.694971958312415</v>
      </c>
      <c r="G61" s="2">
        <f>SUM(INDEX(Trail_Json_Import[Column1.distance],1):Trail_Json_Import[[#This Row],[Column1.distance]])</f>
        <v>3380.5487113961231</v>
      </c>
      <c r="H61" s="2">
        <v>237.11079746978515</v>
      </c>
      <c r="I61" s="2" cm="1">
        <f t="array" aca="1" ref="I61" ca="1">IF(INDIRECT(ADDRESS(ROW(),COLUMN()-1))&lt;&gt;"",INDIRECT(ADDRESS(ROW(),COLUMN()-1)) - INDIRECT(ADDRESS(ROW()-1,COLUMN()-1)),"")</f>
        <v>-0.25172115954532615</v>
      </c>
      <c r="J61" s="2" cm="1">
        <f t="array" aca="1" ref="J61" ca="1">INDEX(I:I,ROW())/INDEX(F:F,ROW())</f>
        <v>-6.5052679148214672E-3</v>
      </c>
      <c r="K61" s="2" t="str">
        <f t="shared" ca="1" si="0"/>
        <v/>
      </c>
      <c r="L61" s="2">
        <f t="shared" ca="1" si="1"/>
        <v>-6.5052679148214672E-3</v>
      </c>
    </row>
    <row r="62" spans="4:12" x14ac:dyDescent="0.25">
      <c r="D62" s="2"/>
      <c r="E62" s="2"/>
      <c r="F62">
        <v>35.959933682095823</v>
      </c>
      <c r="G62" s="2">
        <f>SUM(INDEX(Trail_Json_Import[Column1.distance],1):Trail_Json_Import[[#This Row],[Column1.distance]])</f>
        <v>3416.5086450782187</v>
      </c>
      <c r="H62" s="2">
        <v>236.78318977164653</v>
      </c>
      <c r="I62" s="2" cm="1">
        <f t="array" aca="1" ref="I62" ca="1">IF(INDIRECT(ADDRESS(ROW(),COLUMN()-1))&lt;&gt;"",INDIRECT(ADDRESS(ROW(),COLUMN()-1)) - INDIRECT(ADDRESS(ROW()-1,COLUMN()-1)),"")</f>
        <v>-0.32760769813862112</v>
      </c>
      <c r="J62" s="2" cm="1">
        <f t="array" aca="1" ref="J62" ca="1">INDEX(I:I,ROW())/INDEX(F:F,ROW())</f>
        <v>-9.1103532346538917E-3</v>
      </c>
      <c r="K62" s="2" t="str">
        <f t="shared" ca="1" si="0"/>
        <v/>
      </c>
      <c r="L62" s="2">
        <f t="shared" ca="1" si="1"/>
        <v>-9.1103532346538917E-3</v>
      </c>
    </row>
    <row r="63" spans="4:12" x14ac:dyDescent="0.25">
      <c r="D63" s="2"/>
      <c r="E63" s="2"/>
      <c r="F63">
        <v>34.275813632609243</v>
      </c>
      <c r="G63" s="2">
        <f>SUM(INDEX(Trail_Json_Import[Column1.distance],1):Trail_Json_Import[[#This Row],[Column1.distance]])</f>
        <v>3450.7844587108279</v>
      </c>
      <c r="H63" s="2">
        <v>236.43405956779449</v>
      </c>
      <c r="I63" s="2" cm="1">
        <f t="array" aca="1" ref="I63" ca="1">IF(INDIRECT(ADDRESS(ROW(),COLUMN()-1))&lt;&gt;"",INDIRECT(ADDRESS(ROW(),COLUMN()-1)) - INDIRECT(ADDRESS(ROW()-1,COLUMN()-1)),"")</f>
        <v>-0.34913020385204163</v>
      </c>
      <c r="J63" s="2" cm="1">
        <f t="array" aca="1" ref="J63" ca="1">INDEX(I:I,ROW())/INDEX(F:F,ROW())</f>
        <v>-1.0185905653305542E-2</v>
      </c>
      <c r="K63" s="2" t="str">
        <f t="shared" ca="1" si="0"/>
        <v/>
      </c>
      <c r="L63" s="2">
        <f t="shared" ca="1" si="1"/>
        <v>-1.0185905653305542E-2</v>
      </c>
    </row>
    <row r="64" spans="4:12" x14ac:dyDescent="0.25">
      <c r="D64" s="2"/>
      <c r="E64" s="2"/>
      <c r="F64">
        <v>34.169366726679065</v>
      </c>
      <c r="G64" s="2">
        <f>SUM(INDEX(Trail_Json_Import[Column1.distance],1):Trail_Json_Import[[#This Row],[Column1.distance]])</f>
        <v>3484.953825437507</v>
      </c>
      <c r="H64" s="2">
        <v>236.49716761858161</v>
      </c>
      <c r="I64" s="2" cm="1">
        <f t="array" aca="1" ref="I64" ca="1">IF(INDIRECT(ADDRESS(ROW(),COLUMN()-1))&lt;&gt;"",INDIRECT(ADDRESS(ROW(),COLUMN()-1)) - INDIRECT(ADDRESS(ROW()-1,COLUMN()-1)),"")</f>
        <v>6.3108050787121783E-2</v>
      </c>
      <c r="J64" s="2" cm="1">
        <f t="array" aca="1" ref="J64" ca="1">INDEX(I:I,ROW())/INDEX(F:F,ROW())</f>
        <v>1.8469189461988978E-3</v>
      </c>
      <c r="K64" s="2">
        <f t="shared" ca="1" si="0"/>
        <v>1.8469189461988978E-3</v>
      </c>
      <c r="L64" s="2" t="str">
        <f t="shared" ca="1" si="1"/>
        <v/>
      </c>
    </row>
    <row r="65" spans="4:12" x14ac:dyDescent="0.25">
      <c r="D65" s="2"/>
      <c r="E65" s="2"/>
      <c r="F65">
        <v>34.967760394905198</v>
      </c>
      <c r="G65" s="2">
        <f>SUM(INDEX(Trail_Json_Import[Column1.distance],1):Trail_Json_Import[[#This Row],[Column1.distance]])</f>
        <v>3519.9215858324123</v>
      </c>
      <c r="H65" s="2">
        <v>236.51139285851127</v>
      </c>
      <c r="I65" s="2" cm="1">
        <f t="array" aca="1" ref="I65" ca="1">IF(INDIRECT(ADDRESS(ROW(),COLUMN()-1))&lt;&gt;"",INDIRECT(ADDRESS(ROW(),COLUMN()-1)) - INDIRECT(ADDRESS(ROW()-1,COLUMN()-1)),"")</f>
        <v>1.4225239929658073E-2</v>
      </c>
      <c r="J65" s="2" cm="1">
        <f t="array" aca="1" ref="J65" ca="1">INDEX(I:I,ROW())/INDEX(F:F,ROW())</f>
        <v>4.068101522375648E-4</v>
      </c>
      <c r="K65" s="2">
        <f t="shared" ca="1" si="0"/>
        <v>4.068101522375648E-4</v>
      </c>
      <c r="L65" s="2" t="str">
        <f t="shared" ca="1" si="1"/>
        <v/>
      </c>
    </row>
    <row r="66" spans="4:12" x14ac:dyDescent="0.25">
      <c r="D66" s="2"/>
      <c r="E66" s="2"/>
      <c r="F66">
        <v>35.959928290590646</v>
      </c>
      <c r="G66" s="2">
        <f>SUM(INDEX(Trail_Json_Import[Column1.distance],1):Trail_Json_Import[[#This Row],[Column1.distance]])</f>
        <v>3555.8815141230029</v>
      </c>
      <c r="H66" s="2">
        <v>236.40848213614407</v>
      </c>
      <c r="I66" s="2" cm="1">
        <f t="array" aca="1" ref="I66" ca="1">IF(INDIRECT(ADDRESS(ROW(),COLUMN()-1))&lt;&gt;"",INDIRECT(ADDRESS(ROW(),COLUMN()-1)) - INDIRECT(ADDRESS(ROW()-1,COLUMN()-1)),"")</f>
        <v>-0.10291072236719856</v>
      </c>
      <c r="J66" s="2" cm="1">
        <f t="array" aca="1" ref="J66" ca="1">INDEX(I:I,ROW())/INDEX(F:F,ROW())</f>
        <v>-2.8618166737036125E-3</v>
      </c>
      <c r="K66" s="2" t="str">
        <f t="shared" ca="1" si="0"/>
        <v/>
      </c>
      <c r="L66" s="2">
        <f t="shared" ca="1" si="1"/>
        <v>-2.8618166737036125E-3</v>
      </c>
    </row>
    <row r="67" spans="4:12" x14ac:dyDescent="0.25">
      <c r="D67" s="2"/>
      <c r="E67" s="2"/>
      <c r="F67">
        <v>33.019342934990014</v>
      </c>
      <c r="G67" s="2">
        <f>SUM(INDEX(Trail_Json_Import[Column1.distance],1):Trail_Json_Import[[#This Row],[Column1.distance]])</f>
        <v>3588.9008570579931</v>
      </c>
      <c r="H67" s="2">
        <v>236.19274570616696</v>
      </c>
      <c r="I67" s="2" cm="1">
        <f t="array" aca="1" ref="I67" ca="1">IF(INDIRECT(ADDRESS(ROW(),COLUMN()-1))&lt;&gt;"",INDIRECT(ADDRESS(ROW(),COLUMN()-1)) - INDIRECT(ADDRESS(ROW()-1,COLUMN()-1)),"")</f>
        <v>-0.21573642997711318</v>
      </c>
      <c r="J67" s="2" cm="1">
        <f t="array" aca="1" ref="J67" ca="1">INDEX(I:I,ROW())/INDEX(F:F,ROW())</f>
        <v>-6.5336378861888585E-3</v>
      </c>
      <c r="K67" s="2" t="str">
        <f t="shared" ref="K67:K119" ca="1" si="2">IF(J67&gt;0,J67,"")</f>
        <v/>
      </c>
      <c r="L67" s="2">
        <f t="shared" ref="L67:L119" ca="1" si="3">IF(J67&lt;0,J67,"")</f>
        <v>-6.5336378861888585E-3</v>
      </c>
    </row>
    <row r="68" spans="4:12" x14ac:dyDescent="0.25">
      <c r="D68" s="2"/>
      <c r="E68" s="2"/>
      <c r="F68">
        <v>33.936875638730946</v>
      </c>
      <c r="G68" s="2">
        <f>SUM(INDEX(Trail_Json_Import[Column1.distance],1):Trail_Json_Import[[#This Row],[Column1.distance]])</f>
        <v>3622.8377326967238</v>
      </c>
      <c r="H68" s="2">
        <v>236.0935228240966</v>
      </c>
      <c r="I68" s="2" cm="1">
        <f t="array" aca="1" ref="I68" ca="1">IF(INDIRECT(ADDRESS(ROW(),COLUMN()-1))&lt;&gt;"",INDIRECT(ADDRESS(ROW(),COLUMN()-1)) - INDIRECT(ADDRESS(ROW()-1,COLUMN()-1)),"")</f>
        <v>-9.9222882070364449E-2</v>
      </c>
      <c r="J68" s="2" cm="1">
        <f t="array" aca="1" ref="J68" ca="1">INDEX(I:I,ROW())/INDEX(F:F,ROW())</f>
        <v>-2.9237482886351773E-3</v>
      </c>
      <c r="K68" s="2" t="str">
        <f t="shared" ca="1" si="2"/>
        <v/>
      </c>
      <c r="L68" s="2">
        <f t="shared" ca="1" si="3"/>
        <v>-2.9237482886351773E-3</v>
      </c>
    </row>
    <row r="69" spans="4:12" x14ac:dyDescent="0.25">
      <c r="D69" s="2"/>
      <c r="E69" s="2"/>
      <c r="F69">
        <v>35.959921581746698</v>
      </c>
      <c r="G69" s="2">
        <f>SUM(INDEX(Trail_Json_Import[Column1.distance],1):Trail_Json_Import[[#This Row],[Column1.distance]])</f>
        <v>3658.7976542784704</v>
      </c>
      <c r="H69" s="2">
        <v>236.31409117525749</v>
      </c>
      <c r="I69" s="2" cm="1">
        <f t="array" aca="1" ref="I69" ca="1">IF(INDIRECT(ADDRESS(ROW(),COLUMN()-1))&lt;&gt;"",INDIRECT(ADDRESS(ROW(),COLUMN()-1)) - INDIRECT(ADDRESS(ROW()-1,COLUMN()-1)),"")</f>
        <v>0.22056835116089246</v>
      </c>
      <c r="J69" s="2" cm="1">
        <f t="array" aca="1" ref="J69" ca="1">INDEX(I:I,ROW())/INDEX(F:F,ROW())</f>
        <v>6.1337272568706943E-3</v>
      </c>
      <c r="K69" s="2">
        <f t="shared" ca="1" si="2"/>
        <v>6.1337272568706943E-3</v>
      </c>
      <c r="L69" s="2" t="str">
        <f t="shared" ca="1" si="3"/>
        <v/>
      </c>
    </row>
    <row r="70" spans="4:12" x14ac:dyDescent="0.25">
      <c r="D70" s="2"/>
      <c r="E70" s="2"/>
      <c r="F70">
        <v>30.460530095305391</v>
      </c>
      <c r="G70" s="2">
        <f>SUM(INDEX(Trail_Json_Import[Column1.distance],1):Trail_Json_Import[[#This Row],[Column1.distance]])</f>
        <v>3689.2581843737757</v>
      </c>
      <c r="H70" s="2">
        <v>236.6798860866368</v>
      </c>
      <c r="I70" s="2" cm="1">
        <f t="array" aca="1" ref="I70" ca="1">IF(INDIRECT(ADDRESS(ROW(),COLUMN()-1))&lt;&gt;"",INDIRECT(ADDRESS(ROW(),COLUMN()-1)) - INDIRECT(ADDRESS(ROW()-1,COLUMN()-1)),"")</f>
        <v>0.36579491137931086</v>
      </c>
      <c r="J70" s="2" cm="1">
        <f t="array" aca="1" ref="J70" ca="1">INDEX(I:I,ROW())/INDEX(F:F,ROW())</f>
        <v>1.200881633493593E-2</v>
      </c>
      <c r="K70" s="2">
        <f t="shared" ca="1" si="2"/>
        <v>1.200881633493593E-2</v>
      </c>
      <c r="L70" s="2" t="str">
        <f t="shared" ca="1" si="3"/>
        <v/>
      </c>
    </row>
    <row r="71" spans="4:12" x14ac:dyDescent="0.25">
      <c r="D71" s="2"/>
      <c r="E71" s="2"/>
      <c r="F71">
        <v>41.349199120044794</v>
      </c>
      <c r="G71" s="2">
        <f>SUM(INDEX(Trail_Json_Import[Column1.distance],1):Trail_Json_Import[[#This Row],[Column1.distance]])</f>
        <v>3730.6073834938206</v>
      </c>
      <c r="H71" s="2">
        <v>236.49771708011647</v>
      </c>
      <c r="I71" s="2" cm="1">
        <f t="array" aca="1" ref="I71" ca="1">IF(INDIRECT(ADDRESS(ROW(),COLUMN()-1))&lt;&gt;"",INDIRECT(ADDRESS(ROW(),COLUMN()-1)) - INDIRECT(ADDRESS(ROW()-1,COLUMN()-1)),"")</f>
        <v>-0.18216900652032564</v>
      </c>
      <c r="J71" s="2" cm="1">
        <f t="array" aca="1" ref="J71" ca="1">INDEX(I:I,ROW())/INDEX(F:F,ROW())</f>
        <v>-4.4056235766853297E-3</v>
      </c>
      <c r="K71" s="2" t="str">
        <f t="shared" ca="1" si="2"/>
        <v/>
      </c>
      <c r="L71" s="2">
        <f t="shared" ca="1" si="3"/>
        <v>-4.4056235766853297E-3</v>
      </c>
    </row>
    <row r="72" spans="4:12" x14ac:dyDescent="0.25">
      <c r="D72" s="2"/>
      <c r="E72" s="2"/>
      <c r="F72">
        <v>39.952085613243426</v>
      </c>
      <c r="G72" s="2">
        <f>SUM(INDEX(Trail_Json_Import[Column1.distance],1):Trail_Json_Import[[#This Row],[Column1.distance]])</f>
        <v>3770.5594691070642</v>
      </c>
      <c r="H72" s="2">
        <v>235.9708907395426</v>
      </c>
      <c r="I72" s="2" cm="1">
        <f t="array" aca="1" ref="I72" ca="1">IF(INDIRECT(ADDRESS(ROW(),COLUMN()-1))&lt;&gt;"",INDIRECT(ADDRESS(ROW(),COLUMN()-1)) - INDIRECT(ADDRESS(ROW()-1,COLUMN()-1)),"")</f>
        <v>-0.52682634057387645</v>
      </c>
      <c r="J72" s="2" cm="1">
        <f t="array" aca="1" ref="J72" ca="1">INDEX(I:I,ROW())/INDEX(F:F,ROW())</f>
        <v>-1.3186454035812404E-2</v>
      </c>
      <c r="K72" s="2" t="str">
        <f t="shared" ca="1" si="2"/>
        <v/>
      </c>
      <c r="L72" s="2">
        <f t="shared" ca="1" si="3"/>
        <v>-1.3186454035812404E-2</v>
      </c>
    </row>
    <row r="73" spans="4:12" x14ac:dyDescent="0.25">
      <c r="D73" s="2"/>
      <c r="E73" s="2"/>
      <c r="F73">
        <v>47.000565745484508</v>
      </c>
      <c r="G73" s="2">
        <f>SUM(INDEX(Trail_Json_Import[Column1.distance],1):Trail_Json_Import[[#This Row],[Column1.distance]])</f>
        <v>3817.5600348525486</v>
      </c>
      <c r="H73" s="2">
        <v>235.76027286193633</v>
      </c>
      <c r="I73" s="2" cm="1">
        <f t="array" aca="1" ref="I73" ca="1">IF(INDIRECT(ADDRESS(ROW(),COLUMN()-1))&lt;&gt;"",INDIRECT(ADDRESS(ROW(),COLUMN()-1)) - INDIRECT(ADDRESS(ROW()-1,COLUMN()-1)),"")</f>
        <v>-0.21061787760626771</v>
      </c>
      <c r="J73" s="2" cm="1">
        <f t="array" aca="1" ref="J73" ca="1">INDEX(I:I,ROW())/INDEX(F:F,ROW())</f>
        <v>-4.4811774978794254E-3</v>
      </c>
      <c r="K73" s="2" t="str">
        <f t="shared" ca="1" si="2"/>
        <v/>
      </c>
      <c r="L73" s="2">
        <f t="shared" ca="1" si="3"/>
        <v>-4.4811774978794254E-3</v>
      </c>
    </row>
    <row r="74" spans="4:12" x14ac:dyDescent="0.25">
      <c r="D74" s="2"/>
      <c r="E74" s="2"/>
      <c r="F74">
        <v>71.920191891432125</v>
      </c>
      <c r="G74" s="2">
        <f>SUM(INDEX(Trail_Json_Import[Column1.distance],1):Trail_Json_Import[[#This Row],[Column1.distance]])</f>
        <v>3889.4802267439809</v>
      </c>
      <c r="H74" s="2">
        <v>235.85109152694884</v>
      </c>
      <c r="I74" s="2" cm="1">
        <f t="array" aca="1" ref="I74" ca="1">IF(INDIRECT(ADDRESS(ROW(),COLUMN()-1))&lt;&gt;"",INDIRECT(ADDRESS(ROW(),COLUMN()-1)) - INDIRECT(ADDRESS(ROW()-1,COLUMN()-1)),"")</f>
        <v>9.0818665012506017E-2</v>
      </c>
      <c r="J74" s="2" cm="1">
        <f t="array" aca="1" ref="J74" ca="1">INDEX(I:I,ROW())/INDEX(F:F,ROW())</f>
        <v>1.2627700597573805E-3</v>
      </c>
      <c r="K74" s="2">
        <f t="shared" ca="1" si="2"/>
        <v>1.2627700597573805E-3</v>
      </c>
      <c r="L74" s="2" t="str">
        <f t="shared" ca="1" si="3"/>
        <v/>
      </c>
    </row>
    <row r="75" spans="4:12" x14ac:dyDescent="0.25">
      <c r="D75" s="2"/>
      <c r="E75" s="2"/>
      <c r="F75">
        <v>71.920097804890446</v>
      </c>
      <c r="G75" s="2">
        <f>SUM(INDEX(Trail_Json_Import[Column1.distance],1):Trail_Json_Import[[#This Row],[Column1.distance]])</f>
        <v>3961.4003245488711</v>
      </c>
      <c r="H75" s="2">
        <v>235.94191031076804</v>
      </c>
      <c r="I75" s="2" cm="1">
        <f t="array" aca="1" ref="I75" ca="1">IF(INDIRECT(ADDRESS(ROW(),COLUMN()-1))&lt;&gt;"",INDIRECT(ADDRESS(ROW(),COLUMN()-1)) - INDIRECT(ADDRESS(ROW()-1,COLUMN()-1)),"")</f>
        <v>9.0818783819202054E-2</v>
      </c>
      <c r="J75" s="2" cm="1">
        <f t="array" aca="1" ref="J75" ca="1">INDEX(I:I,ROW())/INDEX(F:F,ROW())</f>
        <v>1.2627733636511619E-3</v>
      </c>
      <c r="K75" s="2">
        <f t="shared" ca="1" si="2"/>
        <v>1.2627733636511619E-3</v>
      </c>
      <c r="L75" s="2" t="str">
        <f t="shared" ca="1" si="3"/>
        <v/>
      </c>
    </row>
    <row r="76" spans="4:12" x14ac:dyDescent="0.25">
      <c r="D76" s="2"/>
      <c r="E76" s="2"/>
      <c r="F76">
        <v>71.920003720413561</v>
      </c>
      <c r="G76" s="2">
        <f>SUM(INDEX(Trail_Json_Import[Column1.distance],1):Trail_Json_Import[[#This Row],[Column1.distance]])</f>
        <v>4033.3203282692848</v>
      </c>
      <c r="H76" s="2">
        <v>236.03272921339564</v>
      </c>
      <c r="I76" s="2" cm="1">
        <f t="array" aca="1" ref="I76" ca="1">IF(INDIRECT(ADDRESS(ROW(),COLUMN()-1))&lt;&gt;"",INDIRECT(ADDRESS(ROW(),COLUMN()-1)) - INDIRECT(ADDRESS(ROW()-1,COLUMN()-1)),"")</f>
        <v>9.0818902627603393E-2</v>
      </c>
      <c r="J76" s="2" cm="1">
        <f t="array" aca="1" ref="J76" ca="1">INDEX(I:I,ROW())/INDEX(F:F,ROW())</f>
        <v>1.262776667541045E-3</v>
      </c>
      <c r="K76" s="2">
        <f t="shared" ca="1" si="2"/>
        <v>1.262776667541045E-3</v>
      </c>
      <c r="L76" s="2" t="str">
        <f t="shared" ca="1" si="3"/>
        <v/>
      </c>
    </row>
    <row r="77" spans="4:12" x14ac:dyDescent="0.25">
      <c r="D77" s="2"/>
      <c r="E77" s="2"/>
      <c r="F77">
        <v>71.919909630440543</v>
      </c>
      <c r="G77" s="2">
        <f>SUM(INDEX(Trail_Json_Import[Column1.distance],1):Trail_Json_Import[[#This Row],[Column1.distance]])</f>
        <v>4105.2402378997249</v>
      </c>
      <c r="H77" s="2">
        <v>236.12354823483264</v>
      </c>
      <c r="I77" s="2" cm="1">
        <f t="array" aca="1" ref="I77" ca="1">IF(INDIRECT(ADDRESS(ROW(),COLUMN()-1))&lt;&gt;"",INDIRECT(ADDRESS(ROW(),COLUMN()-1)) - INDIRECT(ADDRESS(ROW()-1,COLUMN()-1)),"")</f>
        <v>9.0819021436999492E-2</v>
      </c>
      <c r="J77" s="2" cm="1">
        <f t="array" aca="1" ref="J77" ca="1">INDEX(I:I,ROW())/INDEX(F:F,ROW())</f>
        <v>1.2627799715499055E-3</v>
      </c>
      <c r="K77" s="2">
        <f t="shared" ca="1" si="2"/>
        <v>1.2627799715499055E-3</v>
      </c>
      <c r="L77" s="2" t="str">
        <f t="shared" ca="1" si="3"/>
        <v/>
      </c>
    </row>
    <row r="78" spans="4:12" x14ac:dyDescent="0.25">
      <c r="D78" s="2"/>
      <c r="E78" s="2"/>
      <c r="F78">
        <v>68.891801136392786</v>
      </c>
      <c r="G78" s="2">
        <f>SUM(INDEX(Trail_Json_Import[Column1.distance],1):Trail_Json_Import[[#This Row],[Column1.distance]])</f>
        <v>4174.1320390361179</v>
      </c>
      <c r="H78" s="2">
        <v>236.19475419701831</v>
      </c>
      <c r="I78" s="2" cm="1">
        <f t="array" aca="1" ref="I78" ca="1">IF(INDIRECT(ADDRESS(ROW(),COLUMN()-1))&lt;&gt;"",INDIRECT(ADDRESS(ROW(),COLUMN()-1)) - INDIRECT(ADDRESS(ROW()-1,COLUMN()-1)),"")</f>
        <v>7.1205962185672433E-2</v>
      </c>
      <c r="J78" s="2" cm="1">
        <f t="array" aca="1" ref="J78" ca="1">INDEX(I:I,ROW())/INDEX(F:F,ROW())</f>
        <v>1.0335912403378457E-3</v>
      </c>
      <c r="K78" s="2">
        <f t="shared" ca="1" si="2"/>
        <v>1.0335912403378457E-3</v>
      </c>
      <c r="L78" s="2" t="str">
        <f t="shared" ca="1" si="3"/>
        <v/>
      </c>
    </row>
    <row r="79" spans="4:12" x14ac:dyDescent="0.25">
      <c r="D79" s="2"/>
      <c r="E79" s="2"/>
      <c r="F79">
        <v>71.920472747774184</v>
      </c>
      <c r="G79" s="2">
        <f>SUM(INDEX(Trail_Json_Import[Column1.distance],1):Trail_Json_Import[[#This Row],[Column1.distance]])</f>
        <v>4246.0525117838924</v>
      </c>
      <c r="H79" s="2">
        <v>236.26188556798195</v>
      </c>
      <c r="I79" s="2" cm="1">
        <f t="array" aca="1" ref="I79" ca="1">IF(INDIRECT(ADDRESS(ROW(),COLUMN()-1))&lt;&gt;"",INDIRECT(ADDRESS(ROW(),COLUMN()-1)) - INDIRECT(ADDRESS(ROW()-1,COLUMN()-1)),"")</f>
        <v>6.7131370963636527E-2</v>
      </c>
      <c r="J79" s="2" cm="1">
        <f t="array" aca="1" ref="J79" ca="1">INDEX(I:I,ROW())/INDEX(F:F,ROW())</f>
        <v>9.3341114704664015E-4</v>
      </c>
      <c r="K79" s="2">
        <f t="shared" ca="1" si="2"/>
        <v>9.3341114704664015E-4</v>
      </c>
      <c r="L79" s="2" t="str">
        <f t="shared" ca="1" si="3"/>
        <v/>
      </c>
    </row>
    <row r="80" spans="4:12" x14ac:dyDescent="0.25">
      <c r="D80" s="2"/>
      <c r="E80" s="2"/>
      <c r="F80">
        <v>71.920375762365424</v>
      </c>
      <c r="G80" s="2">
        <f>SUM(INDEX(Trail_Json_Import[Column1.distance],1):Trail_Json_Import[[#This Row],[Column1.distance]])</f>
        <v>4317.9728875462579</v>
      </c>
      <c r="H80" s="2">
        <v>236.32901702947009</v>
      </c>
      <c r="I80" s="2" cm="1">
        <f t="array" aca="1" ref="I80" ca="1">IF(INDIRECT(ADDRESS(ROW(),COLUMN()-1))&lt;&gt;"",INDIRECT(ADDRESS(ROW(),COLUMN()-1)) - INDIRECT(ADDRESS(ROW()-1,COLUMN()-1)),"")</f>
        <v>6.7131461488145305E-2</v>
      </c>
      <c r="J80" s="2" cm="1">
        <f t="array" aca="1" ref="J80" ca="1">INDEX(I:I,ROW())/INDEX(F:F,ROW())</f>
        <v>9.3341366443852668E-4</v>
      </c>
      <c r="K80" s="2">
        <f t="shared" ca="1" si="2"/>
        <v>9.3341366443852668E-4</v>
      </c>
      <c r="L80" s="2" t="str">
        <f t="shared" ca="1" si="3"/>
        <v/>
      </c>
    </row>
    <row r="81" spans="4:12" x14ac:dyDescent="0.25">
      <c r="D81" s="2"/>
      <c r="E81" s="2"/>
      <c r="F81">
        <v>71.920278779056304</v>
      </c>
      <c r="G81" s="2">
        <f>SUM(INDEX(Trail_Json_Import[Column1.distance],1):Trail_Json_Import[[#This Row],[Column1.distance]])</f>
        <v>4389.8931663253143</v>
      </c>
      <c r="H81" s="2">
        <v>236.39614858148411</v>
      </c>
      <c r="I81" s="2" cm="1">
        <f t="array" aca="1" ref="I81" ca="1">IF(INDIRECT(ADDRESS(ROW(),COLUMN()-1))&lt;&gt;"",INDIRECT(ADDRESS(ROW(),COLUMN()-1)) - INDIRECT(ADDRESS(ROW()-1,COLUMN()-1)),"")</f>
        <v>6.7131552014018325E-2</v>
      </c>
      <c r="J81" s="2" cm="1">
        <f t="array" aca="1" ref="J81" ca="1">INDEX(I:I,ROW())/INDEX(F:F,ROW())</f>
        <v>9.3341618182892123E-4</v>
      </c>
      <c r="K81" s="2">
        <f t="shared" ca="1" si="2"/>
        <v>9.3341618182892123E-4</v>
      </c>
      <c r="L81" s="2" t="str">
        <f t="shared" ca="1" si="3"/>
        <v/>
      </c>
    </row>
    <row r="82" spans="4:12" x14ac:dyDescent="0.25">
      <c r="D82" s="2"/>
      <c r="E82" s="2"/>
      <c r="F82">
        <v>71.920181792799752</v>
      </c>
      <c r="G82" s="2">
        <f>SUM(INDEX(Trail_Json_Import[Column1.distance],1):Trail_Json_Import[[#This Row],[Column1.distance]])</f>
        <v>4461.8133481181139</v>
      </c>
      <c r="H82" s="2">
        <v>236.46328022402523</v>
      </c>
      <c r="I82" s="2" cm="1">
        <f t="array" aca="1" ref="I82" ca="1">IF(INDIRECT(ADDRESS(ROW(),COLUMN()-1))&lt;&gt;"",INDIRECT(ADDRESS(ROW(),COLUMN()-1)) - INDIRECT(ADDRESS(ROW()-1,COLUMN()-1)),"")</f>
        <v>6.7131642541113479E-2</v>
      </c>
      <c r="J82" s="2" cm="1">
        <f t="array" aca="1" ref="J82" ca="1">INDEX(I:I,ROW())/INDEX(F:F,ROW())</f>
        <v>9.3341869928135145E-4</v>
      </c>
      <c r="K82" s="2">
        <f t="shared" ca="1" si="2"/>
        <v>9.3341869928135145E-4</v>
      </c>
      <c r="L82" s="2" t="str">
        <f t="shared" ca="1" si="3"/>
        <v/>
      </c>
    </row>
    <row r="83" spans="4:12" x14ac:dyDescent="0.25">
      <c r="D83" s="2"/>
      <c r="E83" s="2"/>
      <c r="F83">
        <v>71.920084807926102</v>
      </c>
      <c r="G83" s="2">
        <f>SUM(INDEX(Trail_Json_Import[Column1.distance],1):Trail_Json_Import[[#This Row],[Column1.distance]])</f>
        <v>4533.7334329260402</v>
      </c>
      <c r="H83" s="2">
        <v>236.53041195709477</v>
      </c>
      <c r="I83" s="2" cm="1">
        <f t="array" aca="1" ref="I83" ca="1">IF(INDIRECT(ADDRESS(ROW(),COLUMN()-1))&lt;&gt;"",INDIRECT(ADDRESS(ROW(),COLUMN()-1)) - INDIRECT(ADDRESS(ROW()-1,COLUMN()-1)),"")</f>
        <v>6.7131733069544453E-2</v>
      </c>
      <c r="J83" s="2" cm="1">
        <f t="array" aca="1" ref="J83" ca="1">INDEX(I:I,ROW())/INDEX(F:F,ROW())</f>
        <v>9.3342121674119686E-4</v>
      </c>
      <c r="K83" s="2">
        <f t="shared" ca="1" si="2"/>
        <v>9.3342121674119686E-4</v>
      </c>
      <c r="L83" s="2" t="str">
        <f t="shared" ca="1" si="3"/>
        <v/>
      </c>
    </row>
    <row r="84" spans="4:12" x14ac:dyDescent="0.25">
      <c r="D84" s="2"/>
      <c r="E84" s="2"/>
      <c r="F84">
        <v>71.919987820276774</v>
      </c>
      <c r="G84" s="2">
        <f>SUM(INDEX(Trail_Json_Import[Column1.distance],1):Trail_Json_Import[[#This Row],[Column1.distance]])</f>
        <v>4605.6534207463174</v>
      </c>
      <c r="H84" s="2">
        <v>236.59754378069425</v>
      </c>
      <c r="I84" s="2" cm="1">
        <f t="array" aca="1" ref="I84" ca="1">IF(INDIRECT(ADDRESS(ROW(),COLUMN()-1))&lt;&gt;"",INDIRECT(ADDRESS(ROW(),COLUMN()-1)) - INDIRECT(ADDRESS(ROW()-1,COLUMN()-1)),"")</f>
        <v>6.7131823599481777E-2</v>
      </c>
      <c r="J84" s="2" cm="1">
        <f t="array" aca="1" ref="J84" ca="1">INDEX(I:I,ROW())/INDEX(F:F,ROW())</f>
        <v>9.3342373426480137E-4</v>
      </c>
      <c r="K84" s="2">
        <f t="shared" ca="1" si="2"/>
        <v>9.3342373426480137E-4</v>
      </c>
      <c r="L84" s="2" t="str">
        <f t="shared" ca="1" si="3"/>
        <v/>
      </c>
    </row>
    <row r="85" spans="4:12" x14ac:dyDescent="0.25">
      <c r="D85" s="2"/>
      <c r="E85" s="2"/>
      <c r="F85">
        <v>71.919890830770186</v>
      </c>
      <c r="G85" s="2">
        <f>SUM(INDEX(Trail_Json_Import[Column1.distance],1):Trail_Json_Import[[#This Row],[Column1.distance]])</f>
        <v>4677.5733115770872</v>
      </c>
      <c r="H85" s="2">
        <v>236.66467569482535</v>
      </c>
      <c r="I85" s="2" cm="1">
        <f t="array" aca="1" ref="I85" ca="1">IF(INDIRECT(ADDRESS(ROW(),COLUMN()-1))&lt;&gt;"",INDIRECT(ADDRESS(ROW(),COLUMN()-1)) - INDIRECT(ADDRESS(ROW()-1,COLUMN()-1)),"")</f>
        <v>6.7131914131095982E-2</v>
      </c>
      <c r="J85" s="2" cm="1">
        <f t="array" aca="1" ref="J85" ca="1">INDEX(I:I,ROW())/INDEX(F:F,ROW())</f>
        <v>9.3342625184261653E-4</v>
      </c>
      <c r="K85" s="2">
        <f t="shared" ca="1" si="2"/>
        <v>9.3342625184261653E-4</v>
      </c>
      <c r="L85" s="2" t="str">
        <f t="shared" ca="1" si="3"/>
        <v/>
      </c>
    </row>
    <row r="86" spans="4:12" x14ac:dyDescent="0.25">
      <c r="D86" s="2"/>
      <c r="E86" s="2"/>
      <c r="F86">
        <v>33.367799067385263</v>
      </c>
      <c r="G86" s="2">
        <f>SUM(INDEX(Trail_Json_Import[Column1.distance],1):Trail_Json_Import[[#This Row],[Column1.distance]])</f>
        <v>4710.9411106444722</v>
      </c>
      <c r="H86" s="2">
        <v>236.24803622652823</v>
      </c>
      <c r="I86" s="2" cm="1">
        <f t="array" aca="1" ref="I86" ca="1">IF(INDIRECT(ADDRESS(ROW(),COLUMN()-1))&lt;&gt;"",INDIRECT(ADDRESS(ROW(),COLUMN()-1)) - INDIRECT(ADDRESS(ROW()-1,COLUMN()-1)),"")</f>
        <v>-0.41663946829712017</v>
      </c>
      <c r="J86" s="2" cm="1">
        <f t="array" aca="1" ref="J86" ca="1">INDEX(I:I,ROW())/INDEX(F:F,ROW())</f>
        <v>-1.2486273591366615E-2</v>
      </c>
      <c r="K86" s="2" t="str">
        <f t="shared" ca="1" si="2"/>
        <v/>
      </c>
      <c r="L86" s="2">
        <f t="shared" ca="1" si="3"/>
        <v>-1.2486273591366615E-2</v>
      </c>
    </row>
    <row r="87" spans="4:12" x14ac:dyDescent="0.25">
      <c r="D87" s="2"/>
      <c r="E87" s="2"/>
      <c r="F87">
        <v>35.959945229744527</v>
      </c>
      <c r="G87" s="2">
        <f>SUM(INDEX(Trail_Json_Import[Column1.distance],1):Trail_Json_Import[[#This Row],[Column1.distance]])</f>
        <v>4746.9010558742166</v>
      </c>
      <c r="H87" s="2">
        <v>236.54214504677324</v>
      </c>
      <c r="I87" s="2" cm="1">
        <f t="array" aca="1" ref="I87" ca="1">IF(INDIRECT(ADDRESS(ROW(),COLUMN()-1))&lt;&gt;"",INDIRECT(ADDRESS(ROW(),COLUMN()-1)) - INDIRECT(ADDRESS(ROW()-1,COLUMN()-1)),"")</f>
        <v>0.29410882024501461</v>
      </c>
      <c r="J87" s="2" cm="1">
        <f t="array" aca="1" ref="J87" ca="1">INDEX(I:I,ROW())/INDEX(F:F,ROW())</f>
        <v>8.1787894382480981E-3</v>
      </c>
      <c r="K87" s="2">
        <f t="shared" ca="1" si="2"/>
        <v>8.1787894382480981E-3</v>
      </c>
      <c r="L87" s="2" t="str">
        <f t="shared" ca="1" si="3"/>
        <v/>
      </c>
    </row>
    <row r="88" spans="4:12" x14ac:dyDescent="0.25">
      <c r="D88" s="2"/>
      <c r="E88" s="2"/>
      <c r="F88">
        <v>35.535160423026888</v>
      </c>
      <c r="G88" s="2">
        <f>SUM(INDEX(Trail_Json_Import[Column1.distance],1):Trail_Json_Import[[#This Row],[Column1.distance]])</f>
        <v>4782.4362162972438</v>
      </c>
      <c r="H88" s="2">
        <v>236.72075609556572</v>
      </c>
      <c r="I88" s="2" cm="1">
        <f t="array" aca="1" ref="I88" ca="1">IF(INDIRECT(ADDRESS(ROW(),COLUMN()-1))&lt;&gt;"",INDIRECT(ADDRESS(ROW(),COLUMN()-1)) - INDIRECT(ADDRESS(ROW()-1,COLUMN()-1)),"")</f>
        <v>0.17861104879247591</v>
      </c>
      <c r="J88" s="2" cm="1">
        <f t="array" aca="1" ref="J88" ca="1">INDEX(I:I,ROW())/INDEX(F:F,ROW())</f>
        <v>5.0263189096716567E-3</v>
      </c>
      <c r="K88" s="2">
        <f t="shared" ca="1" si="2"/>
        <v>5.0263189096716567E-3</v>
      </c>
      <c r="L88" s="2" t="str">
        <f t="shared" ca="1" si="3"/>
        <v/>
      </c>
    </row>
    <row r="89" spans="4:12" x14ac:dyDescent="0.25">
      <c r="D89" s="2"/>
      <c r="E89" s="2"/>
      <c r="F89">
        <v>38.436752010318145</v>
      </c>
      <c r="G89" s="2">
        <f>SUM(INDEX(Trail_Json_Import[Column1.distance],1):Trail_Json_Import[[#This Row],[Column1.distance]])</f>
        <v>4820.8729683075617</v>
      </c>
      <c r="H89" s="2">
        <v>236.73504742686521</v>
      </c>
      <c r="I89" s="2" cm="1">
        <f t="array" aca="1" ref="I89" ca="1">IF(INDIRECT(ADDRESS(ROW(),COLUMN()-1))&lt;&gt;"",INDIRECT(ADDRESS(ROW(),COLUMN()-1)) - INDIRECT(ADDRESS(ROW()-1,COLUMN()-1)),"")</f>
        <v>1.4291331299489229E-2</v>
      </c>
      <c r="J89" s="2" cm="1">
        <f t="array" aca="1" ref="J89" ca="1">INDEX(I:I,ROW())/INDEX(F:F,ROW())</f>
        <v>3.7181422862298034E-4</v>
      </c>
      <c r="K89" s="2">
        <f t="shared" ca="1" si="2"/>
        <v>3.7181422862298034E-4</v>
      </c>
      <c r="L89" s="2" t="str">
        <f t="shared" ca="1" si="3"/>
        <v/>
      </c>
    </row>
    <row r="90" spans="4:12" x14ac:dyDescent="0.25">
      <c r="D90" s="2"/>
      <c r="E90" s="2"/>
      <c r="F90">
        <v>41.15097548979206</v>
      </c>
      <c r="G90" s="2">
        <f>SUM(INDEX(Trail_Json_Import[Column1.distance],1):Trail_Json_Import[[#This Row],[Column1.distance]])</f>
        <v>4862.0239437973541</v>
      </c>
      <c r="H90" s="2">
        <v>236.79853663966017</v>
      </c>
      <c r="I90" s="2" cm="1">
        <f t="array" aca="1" ref="I90" ca="1">IF(INDIRECT(ADDRESS(ROW(),COLUMN()-1))&lt;&gt;"",INDIRECT(ADDRESS(ROW(),COLUMN()-1)) - INDIRECT(ADDRESS(ROW()-1,COLUMN()-1)),"")</f>
        <v>6.3489212794962668E-2</v>
      </c>
      <c r="J90" s="2" cm="1">
        <f t="array" aca="1" ref="J90" ca="1">INDEX(I:I,ROW())/INDEX(F:F,ROW())</f>
        <v>1.5428361548977582E-3</v>
      </c>
      <c r="K90" s="2">
        <f t="shared" ca="1" si="2"/>
        <v>1.5428361548977582E-3</v>
      </c>
      <c r="L90" s="2" t="str">
        <f t="shared" ca="1" si="3"/>
        <v/>
      </c>
    </row>
    <row r="91" spans="4:12" x14ac:dyDescent="0.25">
      <c r="D91" s="2"/>
      <c r="E91" s="2"/>
      <c r="F91">
        <v>35.959917245571106</v>
      </c>
      <c r="G91" s="2">
        <f>SUM(INDEX(Trail_Json_Import[Column1.distance],1):Trail_Json_Import[[#This Row],[Column1.distance]])</f>
        <v>4897.9838610429251</v>
      </c>
      <c r="H91" s="2">
        <v>237.24414635997903</v>
      </c>
      <c r="I91" s="2" cm="1">
        <f t="array" aca="1" ref="I91" ca="1">IF(INDIRECT(ADDRESS(ROW(),COLUMN()-1))&lt;&gt;"",INDIRECT(ADDRESS(ROW(),COLUMN()-1)) - INDIRECT(ADDRESS(ROW()-1,COLUMN()-1)),"")</f>
        <v>0.44560972031885626</v>
      </c>
      <c r="J91" s="2" cm="1">
        <f t="array" aca="1" ref="J91" ca="1">INDEX(I:I,ROW())/INDEX(F:F,ROW())</f>
        <v>1.2391844988846254E-2</v>
      </c>
      <c r="K91" s="2">
        <f t="shared" ca="1" si="2"/>
        <v>1.2391844988846254E-2</v>
      </c>
      <c r="L91" s="2" t="str">
        <f t="shared" ca="1" si="3"/>
        <v/>
      </c>
    </row>
    <row r="92" spans="4:12" x14ac:dyDescent="0.25">
      <c r="D92" s="2"/>
      <c r="E92" s="2"/>
      <c r="F92">
        <v>33.294835544520687</v>
      </c>
      <c r="G92" s="2">
        <f>SUM(INDEX(Trail_Json_Import[Column1.distance],1):Trail_Json_Import[[#This Row],[Column1.distance]])</f>
        <v>4931.2786965874457</v>
      </c>
      <c r="H92" s="2">
        <v>237.12692536297411</v>
      </c>
      <c r="I92" s="2" cm="1">
        <f t="array" aca="1" ref="I92" ca="1">IF(INDIRECT(ADDRESS(ROW(),COLUMN()-1))&lt;&gt;"",INDIRECT(ADDRESS(ROW(),COLUMN()-1)) - INDIRECT(ADDRESS(ROW()-1,COLUMN()-1)),"")</f>
        <v>-0.11722099700492095</v>
      </c>
      <c r="J92" s="2" cm="1">
        <f t="array" aca="1" ref="J92" ca="1">INDEX(I:I,ROW())/INDEX(F:F,ROW())</f>
        <v>-3.5206960805731309E-3</v>
      </c>
      <c r="K92" s="2" t="str">
        <f t="shared" ca="1" si="2"/>
        <v/>
      </c>
      <c r="L92" s="2">
        <f t="shared" ca="1" si="3"/>
        <v>-3.5206960805731309E-3</v>
      </c>
    </row>
    <row r="93" spans="4:12" x14ac:dyDescent="0.25">
      <c r="D93" s="2"/>
      <c r="E93" s="2"/>
      <c r="F93">
        <v>36.783128919922333</v>
      </c>
      <c r="G93" s="2">
        <f>SUM(INDEX(Trail_Json_Import[Column1.distance],1):Trail_Json_Import[[#This Row],[Column1.distance]])</f>
        <v>4968.0618255073678</v>
      </c>
      <c r="H93" s="2">
        <v>236.71619049646324</v>
      </c>
      <c r="I93" s="2" cm="1">
        <f t="array" aca="1" ref="I93" ca="1">IF(INDIRECT(ADDRESS(ROW(),COLUMN()-1))&lt;&gt;"",INDIRECT(ADDRESS(ROW(),COLUMN()-1)) - INDIRECT(ADDRESS(ROW()-1,COLUMN()-1)),"")</f>
        <v>-0.41073486651086455</v>
      </c>
      <c r="J93" s="2" cm="1">
        <f t="array" aca="1" ref="J93" ca="1">INDEX(I:I,ROW())/INDEX(F:F,ROW())</f>
        <v>-1.1166392815712965E-2</v>
      </c>
      <c r="K93" s="2" t="str">
        <f t="shared" ca="1" si="2"/>
        <v/>
      </c>
      <c r="L93" s="2">
        <f t="shared" ca="1" si="3"/>
        <v>-1.1166392815712965E-2</v>
      </c>
    </row>
    <row r="94" spans="4:12" x14ac:dyDescent="0.25">
      <c r="D94" s="2"/>
      <c r="E94" s="2"/>
      <c r="F94">
        <v>35.285005620739184</v>
      </c>
      <c r="G94" s="2">
        <f>SUM(INDEX(Trail_Json_Import[Column1.distance],1):Trail_Json_Import[[#This Row],[Column1.distance]])</f>
        <v>5003.3468311281067</v>
      </c>
      <c r="H94" s="2">
        <v>236.27843229527952</v>
      </c>
      <c r="I94" s="2" cm="1">
        <f t="array" aca="1" ref="I94" ca="1">IF(INDIRECT(ADDRESS(ROW(),COLUMN()-1))&lt;&gt;"",INDIRECT(ADDRESS(ROW(),COLUMN()-1)) - INDIRECT(ADDRESS(ROW()-1,COLUMN()-1)),"")</f>
        <v>-0.43775820118372621</v>
      </c>
      <c r="J94" s="2" cm="1">
        <f t="array" aca="1" ref="J94" ca="1">INDEX(I:I,ROW())/INDEX(F:F,ROW())</f>
        <v>-1.2406352032049234E-2</v>
      </c>
      <c r="K94" s="2" t="str">
        <f t="shared" ca="1" si="2"/>
        <v/>
      </c>
      <c r="L94" s="2">
        <f t="shared" ca="1" si="3"/>
        <v>-1.2406352032049234E-2</v>
      </c>
    </row>
    <row r="95" spans="4:12" x14ac:dyDescent="0.25">
      <c r="D95" s="2"/>
      <c r="E95" s="2"/>
      <c r="F95">
        <v>35.959936951274621</v>
      </c>
      <c r="G95" s="2">
        <f>SUM(INDEX(Trail_Json_Import[Column1.distance],1):Trail_Json_Import[[#This Row],[Column1.distance]])</f>
        <v>5039.3067680793811</v>
      </c>
      <c r="H95" s="2">
        <v>235.79372914320243</v>
      </c>
      <c r="I95" s="2" cm="1">
        <f t="array" aca="1" ref="I95" ca="1">IF(INDIRECT(ADDRESS(ROW(),COLUMN()-1))&lt;&gt;"",INDIRECT(ADDRESS(ROW(),COLUMN()-1)) - INDIRECT(ADDRESS(ROW()-1,COLUMN()-1)),"")</f>
        <v>-0.48470315207708836</v>
      </c>
      <c r="J95" s="2" cm="1">
        <f t="array" aca="1" ref="J95" ca="1">INDEX(I:I,ROW())/INDEX(F:F,ROW())</f>
        <v>-1.3478976693809463E-2</v>
      </c>
      <c r="K95" s="2" t="str">
        <f t="shared" ca="1" si="2"/>
        <v/>
      </c>
      <c r="L95" s="2">
        <f t="shared" ca="1" si="3"/>
        <v>-1.3478976693809463E-2</v>
      </c>
    </row>
    <row r="96" spans="4:12" x14ac:dyDescent="0.25">
      <c r="D96" s="2"/>
      <c r="E96" s="2"/>
      <c r="F96">
        <v>36.733714012601574</v>
      </c>
      <c r="G96" s="2">
        <f>SUM(INDEX(Trail_Json_Import[Column1.distance],1):Trail_Json_Import[[#This Row],[Column1.distance]])</f>
        <v>5076.040482091983</v>
      </c>
      <c r="H96" s="2">
        <v>235.35982358520243</v>
      </c>
      <c r="I96" s="2" cm="1">
        <f t="array" aca="1" ref="I96" ca="1">IF(INDIRECT(ADDRESS(ROW(),COLUMN()-1))&lt;&gt;"",INDIRECT(ADDRESS(ROW(),COLUMN()-1)) - INDIRECT(ADDRESS(ROW()-1,COLUMN()-1)),"")</f>
        <v>-0.4339055579999922</v>
      </c>
      <c r="J96" s="2" cm="1">
        <f t="array" aca="1" ref="J96" ca="1">INDEX(I:I,ROW())/INDEX(F:F,ROW())</f>
        <v>-1.1812188602849688E-2</v>
      </c>
      <c r="K96" s="2" t="str">
        <f t="shared" ca="1" si="2"/>
        <v/>
      </c>
      <c r="L96" s="2">
        <f t="shared" ca="1" si="3"/>
        <v>-1.1812188602849688E-2</v>
      </c>
    </row>
    <row r="97" spans="4:12" x14ac:dyDescent="0.25">
      <c r="D97" s="2"/>
      <c r="E97" s="2"/>
      <c r="F97">
        <v>35.959928165946216</v>
      </c>
      <c r="G97" s="2">
        <f>SUM(INDEX(Trail_Json_Import[Column1.distance],1):Trail_Json_Import[[#This Row],[Column1.distance]])</f>
        <v>5112.0004102579296</v>
      </c>
      <c r="H97" s="2">
        <v>235.05929434079275</v>
      </c>
      <c r="I97" s="2" cm="1">
        <f t="array" aca="1" ref="I97" ca="1">IF(INDIRECT(ADDRESS(ROW(),COLUMN()-1))&lt;&gt;"",INDIRECT(ADDRESS(ROW(),COLUMN()-1)) - INDIRECT(ADDRESS(ROW()-1,COLUMN()-1)),"")</f>
        <v>-0.30052924440968809</v>
      </c>
      <c r="J97" s="2" cm="1">
        <f t="array" aca="1" ref="J97" ca="1">INDEX(I:I,ROW())/INDEX(F:F,ROW())</f>
        <v>-8.3573371732785333E-3</v>
      </c>
      <c r="K97" s="2" t="str">
        <f t="shared" ca="1" si="2"/>
        <v/>
      </c>
      <c r="L97" s="2">
        <f t="shared" ca="1" si="3"/>
        <v>-8.3573371732785333E-3</v>
      </c>
    </row>
    <row r="98" spans="4:12" x14ac:dyDescent="0.25">
      <c r="D98" s="2"/>
      <c r="E98" s="2"/>
      <c r="F98">
        <v>15.50984099986997</v>
      </c>
      <c r="G98" s="2">
        <f>SUM(INDEX(Trail_Json_Import[Column1.distance],1):Trail_Json_Import[[#This Row],[Column1.distance]])</f>
        <v>5127.5102512577996</v>
      </c>
      <c r="H98" s="2">
        <v>235.0270560582812</v>
      </c>
      <c r="I98" s="2" cm="1">
        <f t="array" aca="1" ref="I98" ca="1">IF(INDIRECT(ADDRESS(ROW(),COLUMN()-1))&lt;&gt;"",INDIRECT(ADDRESS(ROW(),COLUMN()-1)) - INDIRECT(ADDRESS(ROW()-1,COLUMN()-1)),"")</f>
        <v>-3.2238282511542593E-2</v>
      </c>
      <c r="J98" s="2" cm="1">
        <f t="array" aca="1" ref="J98" ca="1">INDEX(I:I,ROW())/INDEX(F:F,ROW())</f>
        <v>-2.0785695038274647E-3</v>
      </c>
      <c r="K98" s="2" t="str">
        <f t="shared" ca="1" si="2"/>
        <v/>
      </c>
      <c r="L98" s="2">
        <f t="shared" ca="1" si="3"/>
        <v>-2.0785695038274647E-3</v>
      </c>
    </row>
    <row r="99" spans="4:12" x14ac:dyDescent="0.25">
      <c r="D99" s="2"/>
      <c r="E99" s="2"/>
      <c r="F99">
        <v>17.97996646290682</v>
      </c>
      <c r="G99" s="2">
        <f>SUM(INDEX(Trail_Json_Import[Column1.distance],1):Trail_Json_Import[[#This Row],[Column1.distance]])</f>
        <v>5145.4902177207068</v>
      </c>
      <c r="H99" s="2">
        <v>234.74822425988037</v>
      </c>
      <c r="I99" s="2" cm="1">
        <f t="array" aca="1" ref="I99" ca="1">IF(INDIRECT(ADDRESS(ROW(),COLUMN()-1))&lt;&gt;"",INDIRECT(ADDRESS(ROW(),COLUMN()-1)) - INDIRECT(ADDRESS(ROW()-1,COLUMN()-1)),"")</f>
        <v>-0.27883179840083017</v>
      </c>
      <c r="J99" s="2" cm="1">
        <f t="array" aca="1" ref="J99" ca="1">INDEX(I:I,ROW())/INDEX(F:F,ROW())</f>
        <v>-1.5507915377710412E-2</v>
      </c>
      <c r="K99" s="2" t="str">
        <f t="shared" ca="1" si="2"/>
        <v/>
      </c>
      <c r="L99" s="2">
        <f t="shared" ca="1" si="3"/>
        <v>-1.5507915377710412E-2</v>
      </c>
    </row>
    <row r="100" spans="4:12" x14ac:dyDescent="0.25">
      <c r="D100" s="2"/>
      <c r="E100" s="2"/>
      <c r="F100">
        <v>18.825041543582461</v>
      </c>
      <c r="G100" s="2">
        <f>SUM(INDEX(Trail_Json_Import[Column1.distance],1):Trail_Json_Import[[#This Row],[Column1.distance]])</f>
        <v>5164.3152592642891</v>
      </c>
      <c r="H100" s="2">
        <v>234.46004916775067</v>
      </c>
      <c r="I100" s="2" cm="1">
        <f t="array" aca="1" ref="I100" ca="1">IF(INDIRECT(ADDRESS(ROW(),COLUMN()-1))&lt;&gt;"",INDIRECT(ADDRESS(ROW(),COLUMN()-1)) - INDIRECT(ADDRESS(ROW()-1,COLUMN()-1)),"")</f>
        <v>-0.28817509212970549</v>
      </c>
      <c r="J100" s="2" cm="1">
        <f t="array" aca="1" ref="J100" ca="1">INDEX(I:I,ROW())/INDEX(F:F,ROW())</f>
        <v>-1.530807204130424E-2</v>
      </c>
      <c r="K100" s="2" t="str">
        <f t="shared" ca="1" si="2"/>
        <v/>
      </c>
      <c r="L100" s="2">
        <f t="shared" ca="1" si="3"/>
        <v>-1.530807204130424E-2</v>
      </c>
    </row>
    <row r="101" spans="4:12" x14ac:dyDescent="0.25">
      <c r="D101" s="2"/>
      <c r="E101" s="2"/>
      <c r="F101">
        <v>17.979966027333415</v>
      </c>
      <c r="G101" s="2">
        <f>SUM(INDEX(Trail_Json_Import[Column1.distance],1):Trail_Json_Import[[#This Row],[Column1.distance]])</f>
        <v>5182.295225291623</v>
      </c>
      <c r="H101" s="2">
        <v>234.19009843002971</v>
      </c>
      <c r="I101" s="2" cm="1">
        <f t="array" aca="1" ref="I101" ca="1">IF(INDIRECT(ADDRESS(ROW(),COLUMN()-1))&lt;&gt;"",INDIRECT(ADDRESS(ROW(),COLUMN()-1)) - INDIRECT(ADDRESS(ROW()-1,COLUMN()-1)),"")</f>
        <v>-0.26995073772096134</v>
      </c>
      <c r="J101" s="2" cm="1">
        <f t="array" aca="1" ref="J101" ca="1">INDEX(I:I,ROW())/INDEX(F:F,ROW())</f>
        <v>-1.5013973736689945E-2</v>
      </c>
      <c r="K101" s="2" t="str">
        <f t="shared" ca="1" si="2"/>
        <v/>
      </c>
      <c r="L101" s="2">
        <f t="shared" ca="1" si="3"/>
        <v>-1.5013973736689945E-2</v>
      </c>
    </row>
    <row r="102" spans="4:12" x14ac:dyDescent="0.25">
      <c r="D102" s="2"/>
      <c r="E102" s="2"/>
      <c r="F102">
        <v>15.884166903619764</v>
      </c>
      <c r="G102" s="2">
        <f>SUM(INDEX(Trail_Json_Import[Column1.distance],1):Trail_Json_Import[[#This Row],[Column1.distance]])</f>
        <v>5198.1793921952431</v>
      </c>
      <c r="H102" s="2">
        <v>234.08271327977303</v>
      </c>
      <c r="I102" s="2" cm="1">
        <f t="array" aca="1" ref="I102" ca="1">IF(INDIRECT(ADDRESS(ROW(),COLUMN()-1))&lt;&gt;"",INDIRECT(ADDRESS(ROW(),COLUMN()-1)) - INDIRECT(ADDRESS(ROW()-1,COLUMN()-1)),"")</f>
        <v>-0.10738515025667539</v>
      </c>
      <c r="J102" s="2" cm="1">
        <f t="array" aca="1" ref="J102" ca="1">INDEX(I:I,ROW())/INDEX(F:F,ROW())</f>
        <v>-6.7605151033891435E-3</v>
      </c>
      <c r="K102" s="2" t="str">
        <f t="shared" ca="1" si="2"/>
        <v/>
      </c>
      <c r="L102" s="2">
        <f t="shared" ca="1" si="3"/>
        <v>-6.7605151033891435E-3</v>
      </c>
    </row>
    <row r="103" spans="4:12" x14ac:dyDescent="0.25">
      <c r="D103" s="2"/>
      <c r="E103" s="2"/>
      <c r="F103">
        <v>17.979933627510675</v>
      </c>
      <c r="G103" s="2">
        <f>SUM(INDEX(Trail_Json_Import[Column1.distance],1):Trail_Json_Import[[#This Row],[Column1.distance]])</f>
        <v>5216.159325822754</v>
      </c>
      <c r="H103" s="2">
        <v>233.93542659797217</v>
      </c>
      <c r="I103" s="2" cm="1">
        <f t="array" aca="1" ref="I103" ca="1">IF(INDIRECT(ADDRESS(ROW(),COLUMN()-1))&lt;&gt;"",INDIRECT(ADDRESS(ROW(),COLUMN()-1)) - INDIRECT(ADDRESS(ROW()-1,COLUMN()-1)),"")</f>
        <v>-0.14728668180086402</v>
      </c>
      <c r="J103" s="2" cm="1">
        <f t="array" aca="1" ref="J103" ca="1">INDEX(I:I,ROW())/INDEX(F:F,ROW())</f>
        <v>-8.1917255565117381E-3</v>
      </c>
      <c r="K103" s="2" t="str">
        <f t="shared" ca="1" si="2"/>
        <v/>
      </c>
      <c r="L103" s="2">
        <f t="shared" ca="1" si="3"/>
        <v>-8.1917255565117381E-3</v>
      </c>
    </row>
    <row r="104" spans="4:12" x14ac:dyDescent="0.25">
      <c r="D104" s="2"/>
      <c r="E104" s="2"/>
      <c r="F104">
        <v>17.979938317622906</v>
      </c>
      <c r="G104" s="2">
        <f>SUM(INDEX(Trail_Json_Import[Column1.distance],1):Trail_Json_Import[[#This Row],[Column1.distance]])</f>
        <v>5234.1392641403772</v>
      </c>
      <c r="H104" s="2">
        <v>233.78813995459777</v>
      </c>
      <c r="I104" s="2" cm="1">
        <f t="array" aca="1" ref="I104" ca="1">IF(INDIRECT(ADDRESS(ROW(),COLUMN()-1))&lt;&gt;"",INDIRECT(ADDRESS(ROW(),COLUMN()-1)) - INDIRECT(ADDRESS(ROW()-1,COLUMN()-1)),"")</f>
        <v>-0.14728664337440023</v>
      </c>
      <c r="J104" s="2" cm="1">
        <f t="array" aca="1" ref="J104" ca="1">INDEX(I:I,ROW())/INDEX(F:F,ROW())</f>
        <v>-8.1917212824939613E-3</v>
      </c>
      <c r="K104" s="2" t="str">
        <f t="shared" ca="1" si="2"/>
        <v/>
      </c>
      <c r="L104" s="2">
        <f t="shared" ca="1" si="3"/>
        <v>-8.1917212824939613E-3</v>
      </c>
    </row>
    <row r="105" spans="4:12" x14ac:dyDescent="0.25">
      <c r="D105" s="2"/>
      <c r="E105" s="2"/>
      <c r="F105">
        <v>17.979943007710649</v>
      </c>
      <c r="G105" s="2">
        <f>SUM(INDEX(Trail_Json_Import[Column1.distance],1):Trail_Json_Import[[#This Row],[Column1.distance]])</f>
        <v>5252.1192071480882</v>
      </c>
      <c r="H105" s="2">
        <v>233.64085334965264</v>
      </c>
      <c r="I105" s="2" cm="1">
        <f t="array" aca="1" ref="I105" ca="1">IF(INDIRECT(ADDRESS(ROW(),COLUMN()-1))&lt;&gt;"",INDIRECT(ADDRESS(ROW(),COLUMN()-1)) - INDIRECT(ADDRESS(ROW()-1,COLUMN()-1)),"")</f>
        <v>-0.14728660494512269</v>
      </c>
      <c r="J105" s="2" cm="1">
        <f t="array" aca="1" ref="J105" ca="1">INDEX(I:I,ROW())/INDEX(F:F,ROW())</f>
        <v>-8.1917170083330767E-3</v>
      </c>
      <c r="K105" s="2" t="str">
        <f t="shared" ca="1" si="2"/>
        <v/>
      </c>
      <c r="L105" s="2">
        <f t="shared" ca="1" si="3"/>
        <v>-8.1917170083330767E-3</v>
      </c>
    </row>
    <row r="106" spans="4:12" x14ac:dyDescent="0.25">
      <c r="D106" s="2"/>
      <c r="E106" s="2"/>
      <c r="F106">
        <v>17.979947698973518</v>
      </c>
      <c r="G106" s="2">
        <f>SUM(INDEX(Trail_Json_Import[Column1.distance],1):Trail_Json_Import[[#This Row],[Column1.distance]])</f>
        <v>5270.099154847062</v>
      </c>
      <c r="H106" s="2">
        <v>233.49356678313359</v>
      </c>
      <c r="I106" s="2" cm="1">
        <f t="array" aca="1" ref="I106" ca="1">IF(INDIRECT(ADDRESS(ROW(),COLUMN()-1))&lt;&gt;"",INDIRECT(ADDRESS(ROW(),COLUMN()-1)) - INDIRECT(ADDRESS(ROW()-1,COLUMN()-1)),"")</f>
        <v>-0.14728656651905681</v>
      </c>
      <c r="J106" s="2" cm="1">
        <f t="array" aca="1" ref="J106" ca="1">INDEX(I:I,ROW())/INDEX(F:F,ROW())</f>
        <v>-8.1917127338176545E-3</v>
      </c>
      <c r="K106" s="2" t="str">
        <f t="shared" ca="1" si="2"/>
        <v/>
      </c>
      <c r="L106" s="2">
        <f t="shared" ca="1" si="3"/>
        <v>-8.1917127338176545E-3</v>
      </c>
    </row>
    <row r="107" spans="4:12" x14ac:dyDescent="0.25">
      <c r="D107" s="2"/>
      <c r="E107" s="2"/>
      <c r="F107">
        <v>17.979952392611057</v>
      </c>
      <c r="G107" s="2">
        <f>SUM(INDEX(Trail_Json_Import[Column1.distance],1):Trail_Json_Import[[#This Row],[Column1.distance]])</f>
        <v>5288.0791072396732</v>
      </c>
      <c r="H107" s="2">
        <v>233.34628025504136</v>
      </c>
      <c r="I107" s="2" cm="1">
        <f t="array" aca="1" ref="I107" ca="1">IF(INDIRECT(ADDRESS(ROW(),COLUMN()-1))&lt;&gt;"",INDIRECT(ADDRESS(ROW(),COLUMN()-1)) - INDIRECT(ADDRESS(ROW()-1,COLUMN()-1)),"")</f>
        <v>-0.14728652809222353</v>
      </c>
      <c r="J107" s="2" cm="1">
        <f t="array" aca="1" ref="J107" ca="1">INDEX(I:I,ROW())/INDEX(F:F,ROW())</f>
        <v>-8.1917084581798784E-3</v>
      </c>
      <c r="K107" s="2" t="str">
        <f t="shared" ca="1" si="2"/>
        <v/>
      </c>
      <c r="L107" s="2">
        <f t="shared" ca="1" si="3"/>
        <v>-8.1917084581798784E-3</v>
      </c>
    </row>
    <row r="108" spans="4:12" x14ac:dyDescent="0.25">
      <c r="D108" s="2"/>
      <c r="E108" s="2"/>
      <c r="F108">
        <v>17.979957080226292</v>
      </c>
      <c r="G108" s="2">
        <f>SUM(INDEX(Trail_Json_Import[Column1.distance],1):Trail_Json_Import[[#This Row],[Column1.distance]])</f>
        <v>5306.0590643198993</v>
      </c>
      <c r="H108" s="2">
        <v>233.1989937653741</v>
      </c>
      <c r="I108" s="2" cm="1">
        <f t="array" aca="1" ref="I108" ca="1">IF(INDIRECT(ADDRESS(ROW(),COLUMN()-1))&lt;&gt;"",INDIRECT(ADDRESS(ROW(),COLUMN()-1)) - INDIRECT(ADDRESS(ROW()-1,COLUMN()-1)),"")</f>
        <v>-0.1472864896672661</v>
      </c>
      <c r="J108" s="2" cm="1">
        <f t="array" aca="1" ref="J108" ca="1">INDEX(I:I,ROW())/INDEX(F:F,ROW())</f>
        <v>-8.1917041853924368E-3</v>
      </c>
      <c r="K108" s="2" t="str">
        <f t="shared" ca="1" si="2"/>
        <v/>
      </c>
      <c r="L108" s="2">
        <f t="shared" ca="1" si="3"/>
        <v>-8.1917041853924368E-3</v>
      </c>
    </row>
    <row r="109" spans="4:12" x14ac:dyDescent="0.25">
      <c r="D109" s="2"/>
      <c r="E109" s="2"/>
      <c r="F109">
        <v>17.979961770813404</v>
      </c>
      <c r="G109" s="2">
        <f>SUM(INDEX(Trail_Json_Import[Column1.distance],1):Trail_Json_Import[[#This Row],[Column1.distance]])</f>
        <v>5324.0390260907125</v>
      </c>
      <c r="H109" s="2">
        <v>233.05170731414239</v>
      </c>
      <c r="I109" s="2" cm="1">
        <f t="array" aca="1" ref="I109" ca="1">IF(INDIRECT(ADDRESS(ROW(),COLUMN()-1))&lt;&gt;"",INDIRECT(ADDRESS(ROW(),COLUMN()-1)) - INDIRECT(ADDRESS(ROW()-1,COLUMN()-1)),"")</f>
        <v>-0.14728645123170736</v>
      </c>
      <c r="J109" s="2" cm="1">
        <f t="array" aca="1" ref="J109" ca="1">INDEX(I:I,ROW())/INDEX(F:F,ROW())</f>
        <v>-8.1916999106636142E-3</v>
      </c>
      <c r="K109" s="2" t="str">
        <f t="shared" ca="1" si="2"/>
        <v/>
      </c>
      <c r="L109" s="2">
        <f t="shared" ca="1" si="3"/>
        <v>-8.1916999106636142E-3</v>
      </c>
    </row>
    <row r="110" spans="4:12" x14ac:dyDescent="0.25">
      <c r="D110" s="2"/>
      <c r="E110" s="2"/>
      <c r="F110">
        <v>20.478573582481751</v>
      </c>
      <c r="G110" s="2">
        <f>SUM(INDEX(Trail_Json_Import[Column1.distance],1):Trail_Json_Import[[#This Row],[Column1.distance]])</f>
        <v>5344.5175996731941</v>
      </c>
      <c r="H110" s="2">
        <v>233.57706735693807</v>
      </c>
      <c r="I110" s="2" cm="1">
        <f t="array" aca="1" ref="I110" ca="1">IF(INDIRECT(ADDRESS(ROW(),COLUMN()-1))&lt;&gt;"",INDIRECT(ADDRESS(ROW(),COLUMN()-1)) - INDIRECT(ADDRESS(ROW()-1,COLUMN()-1)),"")</f>
        <v>0.5253600427956826</v>
      </c>
      <c r="J110" s="2" cm="1">
        <f t="array" aca="1" ref="J110" ca="1">INDEX(I:I,ROW())/INDEX(F:F,ROW())</f>
        <v>2.5654132631830279E-2</v>
      </c>
      <c r="K110" s="2">
        <f t="shared" ca="1" si="2"/>
        <v>2.5654132631830279E-2</v>
      </c>
      <c r="L110" s="2" t="str">
        <f t="shared" ca="1" si="3"/>
        <v/>
      </c>
    </row>
    <row r="111" spans="4:12" x14ac:dyDescent="0.25">
      <c r="D111" s="2"/>
      <c r="E111" s="2"/>
      <c r="F111">
        <v>20.335968589492396</v>
      </c>
      <c r="G111" s="2">
        <f>SUM(INDEX(Trail_Json_Import[Column1.distance],1):Trail_Json_Import[[#This Row],[Column1.distance]])</f>
        <v>5364.8535682626862</v>
      </c>
      <c r="H111" s="2">
        <v>234.25335120834609</v>
      </c>
      <c r="I111" s="2" cm="1">
        <f t="array" aca="1" ref="I111" ca="1">IF(INDIRECT(ADDRESS(ROW(),COLUMN()-1))&lt;&gt;"",INDIRECT(ADDRESS(ROW(),COLUMN()-1)) - INDIRECT(ADDRESS(ROW()-1,COLUMN()-1)),"")</f>
        <v>0.67628385140801583</v>
      </c>
      <c r="J111" s="2" cm="1">
        <f t="array" aca="1" ref="J111" ca="1">INDEX(I:I,ROW())/INDEX(F:F,ROW())</f>
        <v>3.3255551533328591E-2</v>
      </c>
      <c r="K111" s="2">
        <f t="shared" ca="1" si="2"/>
        <v>3.3255551533328591E-2</v>
      </c>
      <c r="L111" s="2" t="str">
        <f t="shared" ca="1" si="3"/>
        <v/>
      </c>
    </row>
    <row r="112" spans="4:12" x14ac:dyDescent="0.25">
      <c r="D112" s="2"/>
      <c r="E112" s="2"/>
      <c r="F112">
        <v>17.995051925291168</v>
      </c>
      <c r="G112" s="2">
        <f>SUM(INDEX(Trail_Json_Import[Column1.distance],1):Trail_Json_Import[[#This Row],[Column1.distance]])</f>
        <v>5382.8486201879778</v>
      </c>
      <c r="H112" s="2">
        <v>234.78474386049115</v>
      </c>
      <c r="I112" s="2" cm="1">
        <f t="array" aca="1" ref="I112" ca="1">IF(INDIRECT(ADDRESS(ROW(),COLUMN()-1))&lt;&gt;"",INDIRECT(ADDRESS(ROW(),COLUMN()-1)) - INDIRECT(ADDRESS(ROW()-1,COLUMN()-1)),"")</f>
        <v>0.53139265214505826</v>
      </c>
      <c r="J112" s="2" cm="1">
        <f t="array" aca="1" ref="J112" ca="1">INDEX(I:I,ROW())/INDEX(F:F,ROW())</f>
        <v>2.9529931580703682E-2</v>
      </c>
      <c r="K112" s="2">
        <f t="shared" ca="1" si="2"/>
        <v>2.9529931580703682E-2</v>
      </c>
      <c r="L112" s="2" t="str">
        <f t="shared" ca="1" si="3"/>
        <v/>
      </c>
    </row>
    <row r="113" spans="4:12" x14ac:dyDescent="0.25">
      <c r="D113" s="2"/>
      <c r="E113" s="2"/>
      <c r="F113">
        <v>17.979971180046892</v>
      </c>
      <c r="G113" s="2">
        <f>SUM(INDEX(Trail_Json_Import[Column1.distance],1):Trail_Json_Import[[#This Row],[Column1.distance]])</f>
        <v>5400.8285913680247</v>
      </c>
      <c r="H113" s="2">
        <v>235.1589754284152</v>
      </c>
      <c r="I113" s="2" cm="1">
        <f t="array" aca="1" ref="I113" ca="1">IF(INDIRECT(ADDRESS(ROW(),COLUMN()-1))&lt;&gt;"",INDIRECT(ADDRESS(ROW(),COLUMN()-1)) - INDIRECT(ADDRESS(ROW()-1,COLUMN()-1)),"")</f>
        <v>0.37423156792405621</v>
      </c>
      <c r="J113" s="2" cm="1">
        <f t="array" aca="1" ref="J113" ca="1">INDEX(I:I,ROW())/INDEX(F:F,ROW())</f>
        <v>2.0813802434753413E-2</v>
      </c>
      <c r="K113" s="2">
        <f t="shared" ca="1" si="2"/>
        <v>2.0813802434753413E-2</v>
      </c>
      <c r="L113" s="2" t="str">
        <f t="shared" ca="1" si="3"/>
        <v/>
      </c>
    </row>
    <row r="114" spans="4:12" x14ac:dyDescent="0.25">
      <c r="D114" s="2"/>
      <c r="E114" s="2"/>
      <c r="F114">
        <v>15.152458919210217</v>
      </c>
      <c r="G114" s="2">
        <f>SUM(INDEX(Trail_Json_Import[Column1.distance],1):Trail_Json_Import[[#This Row],[Column1.distance]])</f>
        <v>5415.9810502872351</v>
      </c>
      <c r="H114" s="2">
        <v>234.97525304737715</v>
      </c>
      <c r="I114" s="2" cm="1">
        <f t="array" aca="1" ref="I114" ca="1">IF(INDIRECT(ADDRESS(ROW(),COLUMN()-1))&lt;&gt;"",INDIRECT(ADDRESS(ROW(),COLUMN()-1)) - INDIRECT(ADDRESS(ROW()-1,COLUMN()-1)),"")</f>
        <v>-0.18372238103805216</v>
      </c>
      <c r="J114" s="2" cm="1">
        <f t="array" aca="1" ref="J114" ca="1">INDEX(I:I,ROW())/INDEX(F:F,ROW())</f>
        <v>-1.2124921903278008E-2</v>
      </c>
      <c r="K114" s="2" t="str">
        <f t="shared" ca="1" si="2"/>
        <v/>
      </c>
      <c r="L114" s="2">
        <f t="shared" ca="1" si="3"/>
        <v>-1.2124921903278008E-2</v>
      </c>
    </row>
    <row r="115" spans="4:12" x14ac:dyDescent="0.25">
      <c r="D115" s="2"/>
      <c r="E115" s="2"/>
      <c r="F115">
        <v>15.874946508294052</v>
      </c>
      <c r="G115" s="2">
        <f>SUM(INDEX(Trail_Json_Import[Column1.distance],1):Trail_Json_Import[[#This Row],[Column1.distance]])</f>
        <v>5431.8559967955289</v>
      </c>
      <c r="H115" s="2">
        <v>234.19471677665217</v>
      </c>
      <c r="I115" s="2" cm="1">
        <f t="array" aca="1" ref="I115" ca="1">IF(INDIRECT(ADDRESS(ROW(),COLUMN()-1))&lt;&gt;"",INDIRECT(ADDRESS(ROW(),COLUMN()-1)) - INDIRECT(ADDRESS(ROW()-1,COLUMN()-1)),"")</f>
        <v>-0.78053627072497989</v>
      </c>
      <c r="J115" s="2" cm="1">
        <f t="array" aca="1" ref="J115" ca="1">INDEX(I:I,ROW())/INDEX(F:F,ROW())</f>
        <v>-4.9167804774471496E-2</v>
      </c>
      <c r="K115" s="2" t="str">
        <f t="shared" ca="1" si="2"/>
        <v/>
      </c>
      <c r="L115" s="2">
        <f t="shared" ca="1" si="3"/>
        <v>-4.9167804774471496E-2</v>
      </c>
    </row>
    <row r="116" spans="4:12" x14ac:dyDescent="0.25">
      <c r="D116" s="2"/>
      <c r="E116" s="2"/>
      <c r="F116">
        <v>16.814136354419173</v>
      </c>
      <c r="G116" s="2">
        <f>SUM(INDEX(Trail_Json_Import[Column1.distance],1):Trail_Json_Import[[#This Row],[Column1.distance]])</f>
        <v>5448.670133149948</v>
      </c>
      <c r="H116" s="2">
        <v>232.04981030064999</v>
      </c>
      <c r="I116" s="2" cm="1">
        <f t="array" aca="1" ref="I116" ca="1">IF(INDIRECT(ADDRESS(ROW(),COLUMN()-1))&lt;&gt;"",INDIRECT(ADDRESS(ROW(),COLUMN()-1)) - INDIRECT(ADDRESS(ROW()-1,COLUMN()-1)),"")</f>
        <v>-2.144906476002177</v>
      </c>
      <c r="J116" s="2" cm="1">
        <f t="array" aca="1" ref="J116" ca="1">INDEX(I:I,ROW())/INDEX(F:F,ROW())</f>
        <v>-0.12756566443797407</v>
      </c>
      <c r="K116" s="2" t="str">
        <f t="shared" ca="1" si="2"/>
        <v/>
      </c>
      <c r="L116" s="2">
        <f t="shared" ca="1" si="3"/>
        <v>-0.12756566443797407</v>
      </c>
    </row>
    <row r="117" spans="4:12" x14ac:dyDescent="0.25">
      <c r="D117" s="2"/>
      <c r="E117" s="2"/>
      <c r="G117" s="2" t="e">
        <f>SUM(INDEX(Trail_Json_Import[Column1.distance],1):Trail_Json_Import[[#This Row],[Column1.distance]])</f>
        <v>#VALUE!</v>
      </c>
      <c r="H117" s="2"/>
      <c r="I117" s="2" t="str" cm="1">
        <f t="array" aca="1" ref="I117" ca="1">IF(INDIRECT(ADDRESS(ROW(),COLUMN()-1))&lt;&gt;"",INDIRECT(ADDRESS(ROW(),COLUMN()-1)) - INDIRECT(ADDRESS(ROW()-1,COLUMN()-1)),"")</f>
        <v/>
      </c>
      <c r="J117" s="2" t="e" cm="1">
        <f t="array" aca="1" ref="J117" ca="1">INDEX(I:I,ROW())/INDEX(F:F,ROW())</f>
        <v>#VALUE!</v>
      </c>
      <c r="K117" s="2" t="e">
        <f t="shared" ca="1" si="2"/>
        <v>#VALUE!</v>
      </c>
      <c r="L117" s="2" t="e">
        <f t="shared" ca="1" si="3"/>
        <v>#VALUE!</v>
      </c>
    </row>
    <row r="118" spans="4:12" x14ac:dyDescent="0.25">
      <c r="D118" s="2"/>
      <c r="E118" s="2"/>
      <c r="G118" s="2" t="e">
        <f>SUM(INDEX(Trail_Json_Import[Column1.distance],1):Trail_Json_Import[[#This Row],[Column1.distance]])</f>
        <v>#VALUE!</v>
      </c>
      <c r="H118" s="2"/>
      <c r="I118" s="2" t="str" cm="1">
        <f t="array" aca="1" ref="I118" ca="1">IF(INDIRECT(ADDRESS(ROW(),COLUMN()-1))&lt;&gt;"",INDIRECT(ADDRESS(ROW(),COLUMN()-1)) - INDIRECT(ADDRESS(ROW()-1,COLUMN()-1)),"")</f>
        <v/>
      </c>
      <c r="J118" s="2" t="e" cm="1">
        <f t="array" aca="1" ref="J118" ca="1">INDEX(I:I,ROW())/INDEX(F:F,ROW())</f>
        <v>#VALUE!</v>
      </c>
      <c r="K118" s="2" t="e">
        <f t="shared" ca="1" si="2"/>
        <v>#VALUE!</v>
      </c>
      <c r="L118" s="2" t="e">
        <f t="shared" ca="1" si="3"/>
        <v>#VALUE!</v>
      </c>
    </row>
    <row r="119" spans="4:12" x14ac:dyDescent="0.25">
      <c r="D119" s="2"/>
      <c r="E119" s="2"/>
      <c r="G119" s="2" t="e">
        <f>SUM(INDEX(Trail_Json_Import[Column1.distance],1):Trail_Json_Import[[#This Row],[Column1.distance]])</f>
        <v>#VALUE!</v>
      </c>
      <c r="I119" s="2" t="str" cm="1">
        <f t="array" aca="1" ref="I119" ca="1">IF(INDIRECT(ADDRESS(ROW(),COLUMN()-1))&lt;&gt;"",INDIRECT(ADDRESS(ROW(),COLUMN()-1)) - INDIRECT(ADDRESS(ROW()-1,COLUMN()-1)),"")</f>
        <v/>
      </c>
      <c r="J119" s="2" t="e" cm="1">
        <f t="array" aca="1" ref="J119" ca="1">INDEX(I:I,ROW())/INDEX(F:F,ROW())</f>
        <v>#VALUE!</v>
      </c>
      <c r="K119" s="2" t="e">
        <f t="shared" ca="1" si="2"/>
        <v>#VALUE!</v>
      </c>
      <c r="L119" s="2" t="e">
        <f t="shared" ca="1" si="3"/>
        <v>#VALUE!</v>
      </c>
    </row>
    <row r="120" spans="4:12" x14ac:dyDescent="0.25">
      <c r="D120" s="2"/>
      <c r="E120" s="2"/>
    </row>
    <row r="121" spans="4:12" x14ac:dyDescent="0.25">
      <c r="D121" s="2"/>
      <c r="E121" s="2"/>
    </row>
    <row r="122" spans="4:12" x14ac:dyDescent="0.25">
      <c r="D122" s="2"/>
      <c r="E122" s="2"/>
    </row>
    <row r="123" spans="4:12" x14ac:dyDescent="0.25">
      <c r="D123" s="2"/>
      <c r="E123" s="2"/>
    </row>
    <row r="124" spans="4:12" x14ac:dyDescent="0.25">
      <c r="D124" s="2"/>
      <c r="E124" s="2"/>
    </row>
    <row r="125" spans="4:12" x14ac:dyDescent="0.25">
      <c r="D125" s="2"/>
      <c r="E125" s="2"/>
    </row>
    <row r="126" spans="4:12" x14ac:dyDescent="0.25">
      <c r="D126" s="2"/>
      <c r="E126" s="2"/>
    </row>
    <row r="127" spans="4:12" x14ac:dyDescent="0.25">
      <c r="D127" s="2"/>
      <c r="E127" s="2"/>
    </row>
    <row r="128" spans="4:12" x14ac:dyDescent="0.25">
      <c r="D128" s="2"/>
      <c r="E128" s="2"/>
    </row>
    <row r="129" spans="4:5" x14ac:dyDescent="0.25">
      <c r="D129" s="2"/>
      <c r="E129" s="2"/>
    </row>
    <row r="130" spans="4:5" x14ac:dyDescent="0.25">
      <c r="D130" s="2"/>
      <c r="E130" s="2"/>
    </row>
    <row r="131" spans="4:5" x14ac:dyDescent="0.25">
      <c r="D131" s="2"/>
      <c r="E131" s="2"/>
    </row>
    <row r="132" spans="4:5" x14ac:dyDescent="0.25">
      <c r="D132" s="2"/>
      <c r="E132" s="2"/>
    </row>
    <row r="133" spans="4:5" x14ac:dyDescent="0.25">
      <c r="D133" s="2"/>
      <c r="E133" s="2"/>
    </row>
    <row r="134" spans="4:5" x14ac:dyDescent="0.25">
      <c r="D134" s="2"/>
      <c r="E134" s="2"/>
    </row>
    <row r="135" spans="4:5" x14ac:dyDescent="0.25">
      <c r="D135" s="2"/>
      <c r="E135" s="2"/>
    </row>
    <row r="136" spans="4:5" x14ac:dyDescent="0.25">
      <c r="D136" s="2"/>
      <c r="E136" s="2"/>
    </row>
    <row r="137" spans="4:5" x14ac:dyDescent="0.25">
      <c r="D137" s="2"/>
      <c r="E137" s="2"/>
    </row>
    <row r="138" spans="4:5" x14ac:dyDescent="0.25">
      <c r="D138" s="2"/>
      <c r="E138" s="2"/>
    </row>
    <row r="139" spans="4:5" x14ac:dyDescent="0.25">
      <c r="D139" s="2"/>
      <c r="E139" s="2"/>
    </row>
    <row r="140" spans="4:5" x14ac:dyDescent="0.25">
      <c r="D140" s="2"/>
      <c r="E140" s="2"/>
    </row>
    <row r="141" spans="4:5" x14ac:dyDescent="0.25">
      <c r="D141" s="2"/>
      <c r="E141" s="2"/>
    </row>
    <row r="142" spans="4:5" x14ac:dyDescent="0.25">
      <c r="D142" s="2"/>
      <c r="E142" s="2"/>
    </row>
    <row r="143" spans="4:5" x14ac:dyDescent="0.25">
      <c r="D143" s="2"/>
      <c r="E143" s="2"/>
    </row>
    <row r="144" spans="4:5" x14ac:dyDescent="0.25">
      <c r="D144" s="2"/>
      <c r="E144" s="2"/>
    </row>
    <row r="145" spans="4:5" x14ac:dyDescent="0.25">
      <c r="D145" s="2"/>
      <c r="E145" s="2"/>
    </row>
    <row r="146" spans="4:5" x14ac:dyDescent="0.25">
      <c r="D146" s="2"/>
      <c r="E146" s="2"/>
    </row>
    <row r="147" spans="4:5" x14ac:dyDescent="0.25">
      <c r="D147" s="2"/>
      <c r="E147" s="2"/>
    </row>
    <row r="148" spans="4:5" x14ac:dyDescent="0.25">
      <c r="D148" s="2"/>
      <c r="E148" s="2"/>
    </row>
    <row r="149" spans="4:5" x14ac:dyDescent="0.25">
      <c r="D149" s="2"/>
      <c r="E149" s="2"/>
    </row>
    <row r="150" spans="4:5" x14ac:dyDescent="0.25">
      <c r="D150" s="2"/>
      <c r="E150" s="2"/>
    </row>
    <row r="151" spans="4:5" x14ac:dyDescent="0.25">
      <c r="D151" s="2"/>
      <c r="E151" s="2"/>
    </row>
    <row r="152" spans="4:5" x14ac:dyDescent="0.25">
      <c r="D152" s="2"/>
      <c r="E152" s="2"/>
    </row>
    <row r="153" spans="4:5" x14ac:dyDescent="0.25">
      <c r="D153" s="2"/>
      <c r="E153" s="2"/>
    </row>
    <row r="154" spans="4:5" x14ac:dyDescent="0.25">
      <c r="D154" s="2"/>
      <c r="E154" s="2"/>
    </row>
    <row r="155" spans="4:5" x14ac:dyDescent="0.25">
      <c r="D155" s="2"/>
      <c r="E155" s="2"/>
    </row>
    <row r="156" spans="4:5" x14ac:dyDescent="0.25">
      <c r="D156" s="2"/>
      <c r="E156" s="2"/>
    </row>
    <row r="157" spans="4:5" x14ac:dyDescent="0.25">
      <c r="D157" s="2"/>
      <c r="E157" s="2"/>
    </row>
    <row r="158" spans="4:5" x14ac:dyDescent="0.25">
      <c r="D158" s="2"/>
      <c r="E158" s="2"/>
    </row>
    <row r="159" spans="4:5" x14ac:dyDescent="0.25">
      <c r="D159" s="2"/>
      <c r="E159" s="2"/>
    </row>
    <row r="160" spans="4:5" x14ac:dyDescent="0.25">
      <c r="D160" s="2"/>
      <c r="E160" s="2"/>
    </row>
    <row r="161" spans="4:5" x14ac:dyDescent="0.25">
      <c r="D161" s="2"/>
      <c r="E161" s="2"/>
    </row>
    <row r="162" spans="4:5" x14ac:dyDescent="0.25">
      <c r="D162" s="2"/>
      <c r="E162" s="2"/>
    </row>
    <row r="163" spans="4:5" x14ac:dyDescent="0.25">
      <c r="D163" s="2"/>
      <c r="E163" s="2"/>
    </row>
    <row r="164" spans="4:5" x14ac:dyDescent="0.25">
      <c r="D164" s="2"/>
      <c r="E164" s="2"/>
    </row>
    <row r="165" spans="4:5" x14ac:dyDescent="0.25">
      <c r="D165" s="2"/>
      <c r="E165" s="2"/>
    </row>
    <row r="166" spans="4:5" x14ac:dyDescent="0.25">
      <c r="D166" s="2"/>
      <c r="E166" s="2"/>
    </row>
    <row r="167" spans="4:5" x14ac:dyDescent="0.25">
      <c r="D167" s="2"/>
      <c r="E167" s="2"/>
    </row>
    <row r="168" spans="4:5" x14ac:dyDescent="0.25">
      <c r="D168" s="2"/>
      <c r="E168" s="2"/>
    </row>
    <row r="169" spans="4:5" x14ac:dyDescent="0.25">
      <c r="D169" s="2"/>
      <c r="E169" s="2"/>
    </row>
    <row r="170" spans="4:5" x14ac:dyDescent="0.25">
      <c r="D170" s="2"/>
      <c r="E170" s="2"/>
    </row>
    <row r="171" spans="4:5" x14ac:dyDescent="0.25">
      <c r="D171" s="2"/>
      <c r="E171" s="2"/>
    </row>
    <row r="172" spans="4:5" x14ac:dyDescent="0.25">
      <c r="D172" s="2"/>
      <c r="E172" s="2"/>
    </row>
    <row r="173" spans="4:5" x14ac:dyDescent="0.25">
      <c r="D173" s="2"/>
      <c r="E173" s="2"/>
    </row>
    <row r="174" spans="4:5" x14ac:dyDescent="0.25">
      <c r="D174" s="2"/>
      <c r="E174" s="2"/>
    </row>
    <row r="175" spans="4:5" x14ac:dyDescent="0.25">
      <c r="D175" s="2"/>
      <c r="E175" s="2"/>
    </row>
    <row r="176" spans="4:5" x14ac:dyDescent="0.25">
      <c r="D176" s="2"/>
      <c r="E176" s="2"/>
    </row>
    <row r="177" spans="4:5" x14ac:dyDescent="0.25">
      <c r="D177" s="2"/>
      <c r="E177" s="2"/>
    </row>
    <row r="178" spans="4:5" x14ac:dyDescent="0.25">
      <c r="D178" s="2"/>
      <c r="E178" s="2"/>
    </row>
    <row r="179" spans="4:5" x14ac:dyDescent="0.25">
      <c r="D179" s="2"/>
      <c r="E179" s="2"/>
    </row>
    <row r="180" spans="4:5" x14ac:dyDescent="0.25">
      <c r="D180" s="2"/>
      <c r="E180" s="2"/>
    </row>
    <row r="181" spans="4:5" x14ac:dyDescent="0.25">
      <c r="D181" s="2"/>
      <c r="E181" s="2"/>
    </row>
    <row r="182" spans="4:5" x14ac:dyDescent="0.25">
      <c r="D182" s="2"/>
      <c r="E182" s="2"/>
    </row>
    <row r="183" spans="4:5" x14ac:dyDescent="0.25">
      <c r="D183" s="2"/>
      <c r="E183" s="2"/>
    </row>
    <row r="184" spans="4:5" x14ac:dyDescent="0.25">
      <c r="D184" s="2"/>
      <c r="E184" s="2"/>
    </row>
    <row r="185" spans="4:5" x14ac:dyDescent="0.25">
      <c r="D185" s="2"/>
      <c r="E185" s="2"/>
    </row>
    <row r="186" spans="4:5" x14ac:dyDescent="0.25">
      <c r="D186" s="2"/>
      <c r="E186" s="2"/>
    </row>
    <row r="187" spans="4:5" x14ac:dyDescent="0.25">
      <c r="D187" s="2"/>
      <c r="E187" s="2"/>
    </row>
    <row r="188" spans="4:5" x14ac:dyDescent="0.25">
      <c r="D188" s="2"/>
      <c r="E188" s="2"/>
    </row>
    <row r="189" spans="4:5" x14ac:dyDescent="0.25">
      <c r="D189" s="2"/>
      <c r="E189" s="2"/>
    </row>
    <row r="190" spans="4:5" x14ac:dyDescent="0.25">
      <c r="D190" s="2"/>
      <c r="E190" s="2"/>
    </row>
    <row r="191" spans="4:5" x14ac:dyDescent="0.25">
      <c r="D191" s="2"/>
      <c r="E191" s="2"/>
    </row>
    <row r="192" spans="4:5" x14ac:dyDescent="0.25">
      <c r="D192" s="2"/>
      <c r="E192" s="2"/>
    </row>
    <row r="193" spans="4:5" x14ac:dyDescent="0.25">
      <c r="D193" s="2"/>
      <c r="E193" s="2"/>
    </row>
    <row r="194" spans="4:5" x14ac:dyDescent="0.25">
      <c r="D194" s="2"/>
      <c r="E194" s="2"/>
    </row>
    <row r="195" spans="4:5" x14ac:dyDescent="0.25">
      <c r="D195" s="2"/>
      <c r="E195" s="2"/>
    </row>
    <row r="196" spans="4:5" x14ac:dyDescent="0.25">
      <c r="D196" s="2"/>
      <c r="E196" s="2"/>
    </row>
    <row r="197" spans="4:5" x14ac:dyDescent="0.25">
      <c r="D197" s="2"/>
      <c r="E197" s="2"/>
    </row>
    <row r="198" spans="4:5" x14ac:dyDescent="0.25">
      <c r="D198" s="2"/>
      <c r="E198" s="2"/>
    </row>
    <row r="199" spans="4:5" x14ac:dyDescent="0.25">
      <c r="D199" s="2"/>
      <c r="E199" s="2"/>
    </row>
    <row r="200" spans="4:5" x14ac:dyDescent="0.25">
      <c r="D200" s="2"/>
      <c r="E200" s="2"/>
    </row>
    <row r="201" spans="4:5" x14ac:dyDescent="0.25">
      <c r="D201" s="2"/>
      <c r="E201" s="2"/>
    </row>
    <row r="202" spans="4:5" x14ac:dyDescent="0.25">
      <c r="D202" s="2"/>
      <c r="E202" s="2"/>
    </row>
    <row r="203" spans="4:5" x14ac:dyDescent="0.25">
      <c r="D203" s="2"/>
      <c r="E203" s="2"/>
    </row>
    <row r="204" spans="4:5" x14ac:dyDescent="0.25">
      <c r="D204" s="2"/>
      <c r="E204" s="2"/>
    </row>
    <row r="205" spans="4:5" x14ac:dyDescent="0.25">
      <c r="D205" s="2"/>
      <c r="E205" s="2"/>
    </row>
    <row r="206" spans="4:5" x14ac:dyDescent="0.25">
      <c r="D206" s="2"/>
      <c r="E206" s="2"/>
    </row>
    <row r="207" spans="4:5" x14ac:dyDescent="0.25">
      <c r="D207" s="2"/>
      <c r="E207" s="2"/>
    </row>
    <row r="208" spans="4:5" x14ac:dyDescent="0.25">
      <c r="D208" s="2"/>
      <c r="E208" s="2"/>
    </row>
    <row r="209" spans="4:5" x14ac:dyDescent="0.25">
      <c r="D209" s="2"/>
      <c r="E209" s="2"/>
    </row>
    <row r="210" spans="4:5" x14ac:dyDescent="0.25">
      <c r="D210" s="2"/>
      <c r="E210" s="2"/>
    </row>
    <row r="211" spans="4:5" x14ac:dyDescent="0.25">
      <c r="D211" s="2"/>
      <c r="E211" s="2"/>
    </row>
    <row r="212" spans="4:5" x14ac:dyDescent="0.25">
      <c r="D212" s="2"/>
      <c r="E212" s="2"/>
    </row>
    <row r="213" spans="4:5" x14ac:dyDescent="0.25">
      <c r="D213" s="2"/>
      <c r="E213" s="2"/>
    </row>
    <row r="214" spans="4:5" x14ac:dyDescent="0.25">
      <c r="D214" s="2"/>
      <c r="E214" s="2"/>
    </row>
    <row r="215" spans="4:5" x14ac:dyDescent="0.25">
      <c r="D215" s="2"/>
      <c r="E215" s="2"/>
    </row>
    <row r="216" spans="4:5" x14ac:dyDescent="0.25">
      <c r="D216" s="2"/>
      <c r="E216" s="2"/>
    </row>
    <row r="217" spans="4:5" x14ac:dyDescent="0.25">
      <c r="D217" s="2"/>
      <c r="E217" s="2"/>
    </row>
    <row r="218" spans="4:5" x14ac:dyDescent="0.25">
      <c r="D218" s="2"/>
      <c r="E218" s="2"/>
    </row>
    <row r="219" spans="4:5" x14ac:dyDescent="0.25">
      <c r="D219" s="2"/>
      <c r="E219" s="2"/>
    </row>
    <row r="220" spans="4:5" x14ac:dyDescent="0.25">
      <c r="D220" s="2"/>
      <c r="E220" s="2"/>
    </row>
    <row r="221" spans="4:5" x14ac:dyDescent="0.25">
      <c r="D221" s="2"/>
      <c r="E221" s="2"/>
    </row>
    <row r="222" spans="4:5" x14ac:dyDescent="0.25">
      <c r="D222" s="2"/>
      <c r="E222" s="2"/>
    </row>
    <row r="223" spans="4:5" x14ac:dyDescent="0.25">
      <c r="D223" s="2"/>
      <c r="E223" s="2"/>
    </row>
    <row r="224" spans="4:5" x14ac:dyDescent="0.25">
      <c r="D224" s="2"/>
      <c r="E224" s="2"/>
    </row>
    <row r="225" spans="4:5" x14ac:dyDescent="0.25">
      <c r="D225" s="2"/>
      <c r="E225" s="2"/>
    </row>
    <row r="226" spans="4:5" x14ac:dyDescent="0.25">
      <c r="D226" s="2"/>
      <c r="E226" s="2"/>
    </row>
    <row r="227" spans="4:5" x14ac:dyDescent="0.25">
      <c r="D227" s="2"/>
      <c r="E227" s="2"/>
    </row>
    <row r="228" spans="4:5" x14ac:dyDescent="0.25">
      <c r="D228" s="2"/>
      <c r="E228" s="2"/>
    </row>
    <row r="229" spans="4:5" x14ac:dyDescent="0.25">
      <c r="D229" s="2"/>
      <c r="E229" s="2"/>
    </row>
    <row r="230" spans="4:5" x14ac:dyDescent="0.25">
      <c r="D230" s="2"/>
      <c r="E230" s="2"/>
    </row>
    <row r="231" spans="4:5" x14ac:dyDescent="0.25">
      <c r="D231" s="2"/>
      <c r="E231" s="2"/>
    </row>
    <row r="232" spans="4:5" x14ac:dyDescent="0.25">
      <c r="D232" s="2"/>
      <c r="E232" s="2"/>
    </row>
    <row r="233" spans="4:5" x14ac:dyDescent="0.25">
      <c r="D233" s="2"/>
      <c r="E233" s="2"/>
    </row>
    <row r="234" spans="4:5" x14ac:dyDescent="0.25">
      <c r="D234" s="2"/>
      <c r="E234" s="2"/>
    </row>
    <row r="235" spans="4:5" x14ac:dyDescent="0.25">
      <c r="D235" s="2"/>
      <c r="E235" s="2"/>
    </row>
    <row r="236" spans="4:5" x14ac:dyDescent="0.25">
      <c r="D236" s="2"/>
      <c r="E236" s="2"/>
    </row>
    <row r="237" spans="4:5" x14ac:dyDescent="0.25">
      <c r="D237" s="2"/>
      <c r="E237" s="2"/>
    </row>
    <row r="238" spans="4:5" x14ac:dyDescent="0.25">
      <c r="D238" s="2"/>
      <c r="E238" s="2"/>
    </row>
    <row r="239" spans="4:5" x14ac:dyDescent="0.25">
      <c r="D239" s="2"/>
      <c r="E239" s="2"/>
    </row>
    <row r="240" spans="4:5" x14ac:dyDescent="0.25">
      <c r="D240" s="2"/>
      <c r="E240" s="2"/>
    </row>
    <row r="241" spans="4:5" x14ac:dyDescent="0.25">
      <c r="D241" s="2"/>
      <c r="E241" s="2"/>
    </row>
    <row r="242" spans="4:5" x14ac:dyDescent="0.25">
      <c r="D242" s="2"/>
      <c r="E242" s="2"/>
    </row>
    <row r="243" spans="4:5" x14ac:dyDescent="0.25">
      <c r="D243" s="2"/>
      <c r="E243" s="2"/>
    </row>
    <row r="244" spans="4:5" x14ac:dyDescent="0.25">
      <c r="D244" s="2"/>
      <c r="E244" s="2"/>
    </row>
    <row r="245" spans="4:5" x14ac:dyDescent="0.25">
      <c r="D245" s="2"/>
      <c r="E245" s="2"/>
    </row>
    <row r="246" spans="4:5" x14ac:dyDescent="0.25">
      <c r="D246" s="2"/>
      <c r="E246" s="2"/>
    </row>
    <row r="247" spans="4:5" x14ac:dyDescent="0.25">
      <c r="D247" s="2"/>
      <c r="E247" s="2"/>
    </row>
    <row r="248" spans="4:5" x14ac:dyDescent="0.25">
      <c r="D248" s="2"/>
      <c r="E248" s="2"/>
    </row>
    <row r="249" spans="4:5" x14ac:dyDescent="0.25">
      <c r="D249" s="2"/>
      <c r="E249" s="2"/>
    </row>
    <row r="250" spans="4:5" x14ac:dyDescent="0.25">
      <c r="D250" s="2"/>
      <c r="E250" s="2"/>
    </row>
    <row r="251" spans="4:5" x14ac:dyDescent="0.25">
      <c r="D251" s="2"/>
      <c r="E251" s="2"/>
    </row>
    <row r="252" spans="4:5" x14ac:dyDescent="0.25">
      <c r="D252" s="2"/>
      <c r="E252" s="2"/>
    </row>
    <row r="253" spans="4:5" x14ac:dyDescent="0.25">
      <c r="D253" s="2"/>
      <c r="E253" s="2"/>
    </row>
    <row r="254" spans="4:5" x14ac:dyDescent="0.25">
      <c r="D254" s="2"/>
      <c r="E254" s="2"/>
    </row>
    <row r="255" spans="4:5" x14ac:dyDescent="0.25">
      <c r="D255" s="2"/>
      <c r="E255" s="2"/>
    </row>
    <row r="256" spans="4:5" x14ac:dyDescent="0.25">
      <c r="D256" s="2"/>
      <c r="E256" s="2"/>
    </row>
    <row r="257" spans="4:5" x14ac:dyDescent="0.25">
      <c r="D257" s="2"/>
      <c r="E257" s="2"/>
    </row>
    <row r="258" spans="4:5" x14ac:dyDescent="0.25">
      <c r="D258" s="2"/>
      <c r="E258" s="2"/>
    </row>
    <row r="259" spans="4:5" x14ac:dyDescent="0.25">
      <c r="D259" s="2"/>
      <c r="E259" s="2"/>
    </row>
    <row r="260" spans="4:5" x14ac:dyDescent="0.25">
      <c r="D260" s="2"/>
      <c r="E260" s="2"/>
    </row>
    <row r="261" spans="4:5" x14ac:dyDescent="0.25">
      <c r="D261" s="2"/>
      <c r="E261" s="2"/>
    </row>
    <row r="262" spans="4:5" x14ac:dyDescent="0.25">
      <c r="D262" s="2"/>
      <c r="E262" s="2"/>
    </row>
    <row r="263" spans="4:5" x14ac:dyDescent="0.25">
      <c r="D263" s="2"/>
      <c r="E263" s="2"/>
    </row>
    <row r="264" spans="4:5" x14ac:dyDescent="0.25">
      <c r="D264" s="2"/>
      <c r="E264" s="2"/>
    </row>
    <row r="265" spans="4:5" x14ac:dyDescent="0.25">
      <c r="D265" s="2"/>
      <c r="E265" s="2"/>
    </row>
    <row r="266" spans="4:5" x14ac:dyDescent="0.25">
      <c r="D266" s="2"/>
      <c r="E266" s="2"/>
    </row>
    <row r="267" spans="4:5" x14ac:dyDescent="0.25">
      <c r="D267" s="2"/>
      <c r="E267" s="2"/>
    </row>
    <row r="268" spans="4:5" x14ac:dyDescent="0.25">
      <c r="D268" s="2"/>
      <c r="E268" s="2"/>
    </row>
    <row r="269" spans="4:5" x14ac:dyDescent="0.25">
      <c r="D269" s="2"/>
      <c r="E269" s="2"/>
    </row>
    <row r="270" spans="4:5" x14ac:dyDescent="0.25">
      <c r="D270" s="2"/>
      <c r="E270" s="2"/>
    </row>
    <row r="271" spans="4:5" x14ac:dyDescent="0.25">
      <c r="D271" s="2"/>
      <c r="E271" s="2"/>
    </row>
    <row r="272" spans="4:5" x14ac:dyDescent="0.25">
      <c r="D272" s="2"/>
      <c r="E272" s="2"/>
    </row>
    <row r="273" spans="4:5" x14ac:dyDescent="0.25">
      <c r="D273" s="2"/>
      <c r="E273" s="2"/>
    </row>
    <row r="274" spans="4:5" x14ac:dyDescent="0.25">
      <c r="D274" s="2"/>
      <c r="E274" s="2"/>
    </row>
    <row r="275" spans="4:5" x14ac:dyDescent="0.25">
      <c r="D275" s="2"/>
      <c r="E275" s="2"/>
    </row>
    <row r="276" spans="4:5" x14ac:dyDescent="0.25">
      <c r="D276" s="2"/>
      <c r="E276" s="2"/>
    </row>
    <row r="277" spans="4:5" x14ac:dyDescent="0.25">
      <c r="D277" s="2"/>
      <c r="E277" s="2"/>
    </row>
    <row r="278" spans="4:5" x14ac:dyDescent="0.25">
      <c r="D278" s="2"/>
      <c r="E278" s="2"/>
    </row>
    <row r="279" spans="4:5" x14ac:dyDescent="0.25">
      <c r="D279" s="2"/>
      <c r="E279" s="2"/>
    </row>
    <row r="280" spans="4:5" x14ac:dyDescent="0.25">
      <c r="D280" s="2"/>
      <c r="E280" s="2"/>
    </row>
    <row r="281" spans="4:5" x14ac:dyDescent="0.25">
      <c r="D281" s="2"/>
      <c r="E281" s="2"/>
    </row>
    <row r="282" spans="4:5" x14ac:dyDescent="0.25">
      <c r="D282" s="2"/>
      <c r="E282" s="2"/>
    </row>
    <row r="283" spans="4:5" x14ac:dyDescent="0.25">
      <c r="D283" s="2"/>
      <c r="E283" s="2"/>
    </row>
    <row r="284" spans="4:5" x14ac:dyDescent="0.25">
      <c r="D284" s="2"/>
      <c r="E284" s="2"/>
    </row>
    <row r="285" spans="4:5" x14ac:dyDescent="0.25">
      <c r="D285" s="2"/>
      <c r="E285" s="2"/>
    </row>
    <row r="286" spans="4:5" x14ac:dyDescent="0.25">
      <c r="D286" s="2"/>
      <c r="E286" s="2"/>
    </row>
    <row r="287" spans="4:5" x14ac:dyDescent="0.25">
      <c r="D287" s="2"/>
      <c r="E287" s="2"/>
    </row>
    <row r="288" spans="4:5" x14ac:dyDescent="0.25">
      <c r="D288" s="2"/>
      <c r="E288" s="2"/>
    </row>
    <row r="289" spans="4:5" x14ac:dyDescent="0.25">
      <c r="D289" s="2"/>
      <c r="E289" s="2"/>
    </row>
    <row r="290" spans="4:5" x14ac:dyDescent="0.25">
      <c r="D290" s="2"/>
      <c r="E290" s="2"/>
    </row>
    <row r="291" spans="4:5" x14ac:dyDescent="0.25">
      <c r="D291" s="2"/>
      <c r="E291" s="2"/>
    </row>
    <row r="292" spans="4:5" x14ac:dyDescent="0.25">
      <c r="D292" s="2"/>
      <c r="E292" s="2"/>
    </row>
    <row r="293" spans="4:5" x14ac:dyDescent="0.25">
      <c r="D293" s="2"/>
      <c r="E293" s="2"/>
    </row>
    <row r="294" spans="4:5" x14ac:dyDescent="0.25">
      <c r="D294" s="2"/>
      <c r="E294" s="2"/>
    </row>
    <row r="295" spans="4:5" x14ac:dyDescent="0.25">
      <c r="D295" s="2"/>
      <c r="E295" s="2"/>
    </row>
    <row r="296" spans="4:5" x14ac:dyDescent="0.25">
      <c r="D296" s="2"/>
      <c r="E296" s="2"/>
    </row>
    <row r="297" spans="4:5" x14ac:dyDescent="0.25">
      <c r="D297" s="2"/>
      <c r="E297" s="2"/>
    </row>
    <row r="298" spans="4:5" x14ac:dyDescent="0.25">
      <c r="D298" s="2"/>
      <c r="E298" s="2"/>
    </row>
    <row r="299" spans="4:5" x14ac:dyDescent="0.25">
      <c r="D299" s="2"/>
      <c r="E299" s="2"/>
    </row>
    <row r="300" spans="4:5" x14ac:dyDescent="0.25">
      <c r="D300" s="2"/>
      <c r="E300" s="2"/>
    </row>
    <row r="301" spans="4:5" x14ac:dyDescent="0.25">
      <c r="D301" s="2"/>
      <c r="E301" s="2"/>
    </row>
    <row r="302" spans="4:5" x14ac:dyDescent="0.25">
      <c r="D302" s="2"/>
      <c r="E302" s="2"/>
    </row>
    <row r="303" spans="4:5" x14ac:dyDescent="0.25">
      <c r="D303" s="2"/>
      <c r="E303" s="2"/>
    </row>
    <row r="304" spans="4:5" x14ac:dyDescent="0.25">
      <c r="D304" s="2"/>
      <c r="E304" s="2"/>
    </row>
    <row r="305" spans="4:5" x14ac:dyDescent="0.25">
      <c r="D305" s="2"/>
      <c r="E305" s="2"/>
    </row>
    <row r="306" spans="4:5" x14ac:dyDescent="0.25">
      <c r="D306" s="2"/>
      <c r="E306" s="2"/>
    </row>
    <row r="307" spans="4:5" x14ac:dyDescent="0.25">
      <c r="D307" s="2"/>
      <c r="E307" s="2"/>
    </row>
    <row r="308" spans="4:5" x14ac:dyDescent="0.25">
      <c r="D308" s="2"/>
      <c r="E308" s="2"/>
    </row>
    <row r="309" spans="4:5" x14ac:dyDescent="0.25">
      <c r="D309" s="2"/>
      <c r="E309" s="2"/>
    </row>
    <row r="310" spans="4:5" x14ac:dyDescent="0.25">
      <c r="D310" s="2"/>
      <c r="E310" s="2"/>
    </row>
    <row r="311" spans="4:5" x14ac:dyDescent="0.25">
      <c r="D311" s="2"/>
      <c r="E311" s="2"/>
    </row>
    <row r="312" spans="4:5" x14ac:dyDescent="0.25">
      <c r="D312" s="2"/>
      <c r="E312" s="2"/>
    </row>
    <row r="313" spans="4:5" x14ac:dyDescent="0.25">
      <c r="D313" s="2"/>
      <c r="E313" s="2"/>
    </row>
    <row r="314" spans="4:5" x14ac:dyDescent="0.25">
      <c r="D314" s="2"/>
      <c r="E314" s="2"/>
    </row>
    <row r="315" spans="4:5" x14ac:dyDescent="0.25">
      <c r="D315" s="2"/>
      <c r="E315" s="2"/>
    </row>
    <row r="316" spans="4:5" x14ac:dyDescent="0.25">
      <c r="D316" s="2"/>
      <c r="E316" s="2"/>
    </row>
    <row r="317" spans="4:5" x14ac:dyDescent="0.25">
      <c r="D317" s="2"/>
      <c r="E317" s="2"/>
    </row>
    <row r="318" spans="4:5" x14ac:dyDescent="0.25">
      <c r="D318" s="2"/>
      <c r="E318" s="2"/>
    </row>
    <row r="319" spans="4:5" x14ac:dyDescent="0.25">
      <c r="D319" s="2"/>
      <c r="E319" s="2"/>
    </row>
    <row r="320" spans="4:5" x14ac:dyDescent="0.25">
      <c r="D320" s="2"/>
      <c r="E320" s="2"/>
    </row>
    <row r="321" spans="4:5" x14ac:dyDescent="0.25">
      <c r="D321" s="2"/>
      <c r="E321" s="2"/>
    </row>
    <row r="322" spans="4:5" x14ac:dyDescent="0.25">
      <c r="D322" s="2"/>
      <c r="E322" s="2"/>
    </row>
    <row r="323" spans="4:5" x14ac:dyDescent="0.25">
      <c r="D323" s="2"/>
      <c r="E323" s="2"/>
    </row>
    <row r="324" spans="4:5" x14ac:dyDescent="0.25">
      <c r="D324" s="2"/>
      <c r="E324" s="2"/>
    </row>
    <row r="325" spans="4:5" x14ac:dyDescent="0.25">
      <c r="D325" s="2"/>
      <c r="E325" s="2"/>
    </row>
    <row r="326" spans="4:5" x14ac:dyDescent="0.25">
      <c r="D326" s="2"/>
      <c r="E326" s="2"/>
    </row>
    <row r="327" spans="4:5" x14ac:dyDescent="0.25">
      <c r="D327" s="2"/>
      <c r="E327" s="2"/>
    </row>
    <row r="328" spans="4:5" x14ac:dyDescent="0.25">
      <c r="D328" s="2"/>
      <c r="E328" s="2"/>
    </row>
    <row r="329" spans="4:5" x14ac:dyDescent="0.25">
      <c r="D329" s="2"/>
      <c r="E329" s="2"/>
    </row>
    <row r="330" spans="4:5" x14ac:dyDescent="0.25">
      <c r="D330" s="2"/>
      <c r="E330" s="2"/>
    </row>
    <row r="331" spans="4:5" x14ac:dyDescent="0.25">
      <c r="D331" s="2"/>
      <c r="E331" s="2"/>
    </row>
    <row r="332" spans="4:5" x14ac:dyDescent="0.25">
      <c r="D332" s="2"/>
      <c r="E332" s="2"/>
    </row>
    <row r="333" spans="4:5" x14ac:dyDescent="0.25">
      <c r="D333" s="2"/>
      <c r="E333" s="2"/>
    </row>
    <row r="334" spans="4:5" x14ac:dyDescent="0.25">
      <c r="D334" s="2"/>
      <c r="E334" s="2"/>
    </row>
    <row r="335" spans="4:5" x14ac:dyDescent="0.25">
      <c r="D335" s="2"/>
      <c r="E335" s="2"/>
    </row>
    <row r="336" spans="4:5" x14ac:dyDescent="0.25">
      <c r="D336" s="2"/>
      <c r="E336" s="2"/>
    </row>
    <row r="337" spans="4:5" x14ac:dyDescent="0.25">
      <c r="D337" s="2"/>
      <c r="E337" s="2"/>
    </row>
    <row r="338" spans="4:5" x14ac:dyDescent="0.25">
      <c r="D338" s="2"/>
      <c r="E338" s="2"/>
    </row>
    <row r="339" spans="4:5" x14ac:dyDescent="0.25">
      <c r="D339" s="2"/>
      <c r="E339" s="2"/>
    </row>
    <row r="340" spans="4:5" x14ac:dyDescent="0.25">
      <c r="D340" s="2"/>
      <c r="E340" s="2"/>
    </row>
    <row r="341" spans="4:5" x14ac:dyDescent="0.25">
      <c r="D341" s="2"/>
      <c r="E341" s="2"/>
    </row>
    <row r="342" spans="4:5" x14ac:dyDescent="0.25">
      <c r="D342" s="2"/>
      <c r="E342" s="2"/>
    </row>
    <row r="343" spans="4:5" x14ac:dyDescent="0.25">
      <c r="D343" s="2"/>
      <c r="E343" s="2"/>
    </row>
    <row r="344" spans="4:5" x14ac:dyDescent="0.25">
      <c r="D344" s="2"/>
      <c r="E344" s="2"/>
    </row>
    <row r="345" spans="4:5" x14ac:dyDescent="0.25">
      <c r="D345" s="2"/>
      <c r="E345" s="2"/>
    </row>
    <row r="346" spans="4:5" x14ac:dyDescent="0.25">
      <c r="D346" s="2"/>
      <c r="E346" s="2"/>
    </row>
    <row r="347" spans="4:5" x14ac:dyDescent="0.25">
      <c r="D347" s="2"/>
      <c r="E347" s="2"/>
    </row>
    <row r="348" spans="4:5" x14ac:dyDescent="0.25">
      <c r="D348" s="2"/>
      <c r="E348" s="2"/>
    </row>
    <row r="349" spans="4:5" x14ac:dyDescent="0.25">
      <c r="D349" s="2"/>
      <c r="E349" s="2"/>
    </row>
    <row r="350" spans="4:5" x14ac:dyDescent="0.25">
      <c r="D350" s="2"/>
      <c r="E350" s="2"/>
    </row>
    <row r="351" spans="4:5" x14ac:dyDescent="0.25">
      <c r="D351" s="2"/>
      <c r="E351" s="2"/>
    </row>
    <row r="352" spans="4:5" x14ac:dyDescent="0.25">
      <c r="D352" s="2"/>
      <c r="E352" s="2"/>
    </row>
    <row r="353" spans="4:5" x14ac:dyDescent="0.25">
      <c r="D353" s="2"/>
      <c r="E353" s="2"/>
    </row>
    <row r="354" spans="4:5" x14ac:dyDescent="0.25">
      <c r="D354" s="2"/>
      <c r="E354" s="2"/>
    </row>
    <row r="355" spans="4:5" x14ac:dyDescent="0.25">
      <c r="D355" s="2"/>
      <c r="E355" s="2"/>
    </row>
    <row r="356" spans="4:5" x14ac:dyDescent="0.25">
      <c r="D356" s="2"/>
      <c r="E356" s="2"/>
    </row>
    <row r="357" spans="4:5" x14ac:dyDescent="0.25">
      <c r="D357" s="2"/>
      <c r="E357" s="2"/>
    </row>
    <row r="358" spans="4:5" x14ac:dyDescent="0.25">
      <c r="D358" s="2"/>
      <c r="E358" s="2"/>
    </row>
    <row r="359" spans="4:5" x14ac:dyDescent="0.25">
      <c r="D359" s="2"/>
      <c r="E359" s="2"/>
    </row>
    <row r="360" spans="4:5" x14ac:dyDescent="0.25">
      <c r="D360" s="2"/>
      <c r="E360" s="2"/>
    </row>
    <row r="361" spans="4:5" x14ac:dyDescent="0.25">
      <c r="D361" s="2"/>
      <c r="E361" s="2"/>
    </row>
    <row r="362" spans="4:5" x14ac:dyDescent="0.25">
      <c r="D362" s="2"/>
      <c r="E362" s="2"/>
    </row>
    <row r="363" spans="4:5" x14ac:dyDescent="0.25">
      <c r="D363" s="2"/>
      <c r="E363" s="2"/>
    </row>
    <row r="364" spans="4:5" x14ac:dyDescent="0.25">
      <c r="D364" s="2"/>
      <c r="E364" s="2"/>
    </row>
    <row r="365" spans="4:5" x14ac:dyDescent="0.25">
      <c r="D365" s="2"/>
      <c r="E365" s="2"/>
    </row>
    <row r="366" spans="4:5" x14ac:dyDescent="0.25">
      <c r="D366" s="2"/>
      <c r="E366" s="2"/>
    </row>
    <row r="367" spans="4:5" x14ac:dyDescent="0.25">
      <c r="D367" s="2"/>
      <c r="E367" s="2"/>
    </row>
    <row r="368" spans="4:5" x14ac:dyDescent="0.25">
      <c r="D368" s="2"/>
      <c r="E368" s="2"/>
    </row>
    <row r="369" spans="4:5" x14ac:dyDescent="0.25">
      <c r="D369" s="2"/>
      <c r="E369" s="2"/>
    </row>
    <row r="370" spans="4:5" x14ac:dyDescent="0.25">
      <c r="D370" s="2"/>
      <c r="E370" s="2"/>
    </row>
    <row r="371" spans="4:5" x14ac:dyDescent="0.25">
      <c r="D371" s="2"/>
      <c r="E371" s="2"/>
    </row>
    <row r="372" spans="4:5" x14ac:dyDescent="0.25">
      <c r="D372" s="2"/>
      <c r="E372" s="2"/>
    </row>
    <row r="373" spans="4:5" x14ac:dyDescent="0.25">
      <c r="D373" s="2"/>
      <c r="E373" s="2"/>
    </row>
    <row r="374" spans="4:5" x14ac:dyDescent="0.25">
      <c r="D374" s="2"/>
      <c r="E374" s="2"/>
    </row>
    <row r="375" spans="4:5" x14ac:dyDescent="0.25">
      <c r="D375" s="2"/>
      <c r="E375" s="2"/>
    </row>
    <row r="376" spans="4:5" x14ac:dyDescent="0.25">
      <c r="D376" s="2"/>
      <c r="E376" s="2"/>
    </row>
    <row r="377" spans="4:5" x14ac:dyDescent="0.25">
      <c r="D377" s="2"/>
      <c r="E377" s="2"/>
    </row>
    <row r="378" spans="4:5" x14ac:dyDescent="0.25">
      <c r="D378" s="2"/>
      <c r="E378" s="2"/>
    </row>
    <row r="379" spans="4:5" x14ac:dyDescent="0.25">
      <c r="D379" s="2"/>
      <c r="E379" s="2"/>
    </row>
    <row r="380" spans="4:5" x14ac:dyDescent="0.25">
      <c r="D380" s="2"/>
      <c r="E380" s="2"/>
    </row>
    <row r="381" spans="4:5" x14ac:dyDescent="0.25">
      <c r="D381" s="2"/>
      <c r="E381" s="2"/>
    </row>
    <row r="382" spans="4:5" x14ac:dyDescent="0.25">
      <c r="D382" s="2"/>
      <c r="E382" s="2"/>
    </row>
    <row r="383" spans="4:5" x14ac:dyDescent="0.25">
      <c r="D383" s="2"/>
      <c r="E383" s="2"/>
    </row>
    <row r="384" spans="4:5" x14ac:dyDescent="0.25">
      <c r="D384" s="2"/>
      <c r="E384" s="2"/>
    </row>
    <row r="385" spans="4:5" x14ac:dyDescent="0.25">
      <c r="D385" s="2"/>
      <c r="E385" s="2"/>
    </row>
    <row r="386" spans="4:5" x14ac:dyDescent="0.25">
      <c r="D386" s="2"/>
      <c r="E386" s="2"/>
    </row>
    <row r="387" spans="4:5" x14ac:dyDescent="0.25">
      <c r="D387" s="2"/>
      <c r="E387" s="2"/>
    </row>
    <row r="388" spans="4:5" x14ac:dyDescent="0.25">
      <c r="D388" s="2"/>
      <c r="E388" s="2"/>
    </row>
    <row r="389" spans="4:5" x14ac:dyDescent="0.25">
      <c r="D389" s="2"/>
      <c r="E389" s="2"/>
    </row>
    <row r="390" spans="4:5" x14ac:dyDescent="0.25">
      <c r="D390" s="2"/>
      <c r="E390" s="2"/>
    </row>
    <row r="391" spans="4:5" x14ac:dyDescent="0.25">
      <c r="D391" s="2"/>
      <c r="E391" s="2"/>
    </row>
    <row r="392" spans="4:5" x14ac:dyDescent="0.25">
      <c r="D392" s="2"/>
      <c r="E392" s="2"/>
    </row>
    <row r="393" spans="4:5" x14ac:dyDescent="0.25">
      <c r="D393" s="2"/>
      <c r="E393" s="2"/>
    </row>
    <row r="394" spans="4:5" x14ac:dyDescent="0.25">
      <c r="D394" s="2"/>
      <c r="E394" s="2"/>
    </row>
    <row r="395" spans="4:5" x14ac:dyDescent="0.25">
      <c r="D395" s="2"/>
      <c r="E395" s="2"/>
    </row>
    <row r="396" spans="4:5" x14ac:dyDescent="0.25">
      <c r="D396" s="2"/>
      <c r="E396" s="2"/>
    </row>
    <row r="397" spans="4:5" x14ac:dyDescent="0.25">
      <c r="D397" s="2"/>
      <c r="E397" s="2"/>
    </row>
    <row r="398" spans="4:5" x14ac:dyDescent="0.25">
      <c r="D398" s="2"/>
      <c r="E398" s="2"/>
    </row>
    <row r="399" spans="4:5" x14ac:dyDescent="0.25">
      <c r="D399" s="2"/>
      <c r="E399" s="2"/>
    </row>
    <row r="400" spans="4:5" x14ac:dyDescent="0.25">
      <c r="D400" s="2"/>
      <c r="E400" s="2"/>
    </row>
    <row r="401" spans="4:5" x14ac:dyDescent="0.25">
      <c r="D401" s="2"/>
      <c r="E401" s="2"/>
    </row>
    <row r="402" spans="4:5" x14ac:dyDescent="0.25">
      <c r="D402" s="2"/>
      <c r="E402" s="2"/>
    </row>
    <row r="403" spans="4:5" x14ac:dyDescent="0.25">
      <c r="D403" s="2"/>
      <c r="E403" s="2"/>
    </row>
    <row r="404" spans="4:5" x14ac:dyDescent="0.25">
      <c r="D404" s="2"/>
      <c r="E404" s="2"/>
    </row>
    <row r="405" spans="4:5" x14ac:dyDescent="0.25">
      <c r="D405" s="2"/>
      <c r="E405" s="2"/>
    </row>
    <row r="406" spans="4:5" x14ac:dyDescent="0.25">
      <c r="D406" s="2"/>
      <c r="E406" s="2"/>
    </row>
    <row r="407" spans="4:5" x14ac:dyDescent="0.25">
      <c r="D407" s="2"/>
      <c r="E407" s="2"/>
    </row>
    <row r="408" spans="4:5" x14ac:dyDescent="0.25">
      <c r="D408" s="2"/>
      <c r="E408" s="2"/>
    </row>
    <row r="409" spans="4:5" x14ac:dyDescent="0.25">
      <c r="D409" s="2"/>
      <c r="E409" s="2"/>
    </row>
    <row r="410" spans="4:5" x14ac:dyDescent="0.25">
      <c r="D410" s="2"/>
      <c r="E410" s="2"/>
    </row>
    <row r="411" spans="4:5" x14ac:dyDescent="0.25">
      <c r="D411" s="2"/>
      <c r="E411" s="2"/>
    </row>
    <row r="412" spans="4:5" x14ac:dyDescent="0.25">
      <c r="D412" s="2"/>
      <c r="E412" s="2"/>
    </row>
    <row r="413" spans="4:5" x14ac:dyDescent="0.25">
      <c r="D413" s="2"/>
      <c r="E413" s="2"/>
    </row>
    <row r="414" spans="4:5" x14ac:dyDescent="0.25">
      <c r="D414" s="2"/>
      <c r="E414" s="2"/>
    </row>
    <row r="415" spans="4:5" x14ac:dyDescent="0.25">
      <c r="D415" s="2"/>
      <c r="E415" s="2"/>
    </row>
    <row r="416" spans="4:5" x14ac:dyDescent="0.25">
      <c r="D416" s="2"/>
      <c r="E416" s="2"/>
    </row>
    <row r="417" spans="4:5" x14ac:dyDescent="0.25">
      <c r="D417" s="2"/>
      <c r="E417" s="2"/>
    </row>
    <row r="418" spans="4:5" x14ac:dyDescent="0.25">
      <c r="D418" s="2"/>
      <c r="E418" s="2"/>
    </row>
    <row r="419" spans="4:5" x14ac:dyDescent="0.25">
      <c r="D419" s="2"/>
      <c r="E419" s="2"/>
    </row>
    <row r="420" spans="4:5" x14ac:dyDescent="0.25">
      <c r="D420" s="2"/>
      <c r="E420" s="2"/>
    </row>
    <row r="421" spans="4:5" x14ac:dyDescent="0.25">
      <c r="D421" s="2"/>
      <c r="E421" s="2"/>
    </row>
    <row r="422" spans="4:5" x14ac:dyDescent="0.25">
      <c r="D422" s="2"/>
      <c r="E422" s="2"/>
    </row>
    <row r="423" spans="4:5" x14ac:dyDescent="0.25">
      <c r="D423" s="2"/>
      <c r="E423" s="2"/>
    </row>
    <row r="424" spans="4:5" x14ac:dyDescent="0.25">
      <c r="D424" s="2"/>
      <c r="E424" s="2"/>
    </row>
    <row r="425" spans="4:5" x14ac:dyDescent="0.25">
      <c r="D425" s="2"/>
      <c r="E425" s="2"/>
    </row>
    <row r="426" spans="4:5" x14ac:dyDescent="0.25">
      <c r="D426" s="2"/>
      <c r="E426" s="2"/>
    </row>
    <row r="427" spans="4:5" x14ac:dyDescent="0.25">
      <c r="D427" s="2"/>
      <c r="E427" s="2"/>
    </row>
    <row r="428" spans="4:5" x14ac:dyDescent="0.25">
      <c r="D428" s="2"/>
      <c r="E428" s="2"/>
    </row>
    <row r="429" spans="4:5" x14ac:dyDescent="0.25">
      <c r="D429" s="2"/>
      <c r="E429" s="2"/>
    </row>
    <row r="430" spans="4:5" x14ac:dyDescent="0.25">
      <c r="D430" s="2"/>
      <c r="E430" s="2"/>
    </row>
    <row r="431" spans="4:5" x14ac:dyDescent="0.25">
      <c r="D431" s="2"/>
      <c r="E431" s="2"/>
    </row>
    <row r="432" spans="4:5" x14ac:dyDescent="0.25">
      <c r="D432" s="2"/>
      <c r="E432" s="2"/>
    </row>
    <row r="433" spans="4:5" x14ac:dyDescent="0.25">
      <c r="D433" s="2"/>
      <c r="E433" s="2"/>
    </row>
    <row r="434" spans="4:5" x14ac:dyDescent="0.25">
      <c r="D434" s="2"/>
      <c r="E434" s="2"/>
    </row>
    <row r="435" spans="4:5" x14ac:dyDescent="0.25">
      <c r="D435" s="2"/>
      <c r="E435" s="2"/>
    </row>
    <row r="436" spans="4:5" x14ac:dyDescent="0.25">
      <c r="D436" s="2"/>
      <c r="E436" s="2"/>
    </row>
    <row r="437" spans="4:5" x14ac:dyDescent="0.25">
      <c r="D437" s="2"/>
      <c r="E437" s="2"/>
    </row>
    <row r="438" spans="4:5" x14ac:dyDescent="0.25">
      <c r="D438" s="2"/>
      <c r="E438" s="2"/>
    </row>
    <row r="439" spans="4:5" x14ac:dyDescent="0.25">
      <c r="D439" s="2"/>
      <c r="E439" s="2"/>
    </row>
    <row r="440" spans="4:5" x14ac:dyDescent="0.25">
      <c r="D440" s="2"/>
      <c r="E440" s="2"/>
    </row>
    <row r="441" spans="4:5" x14ac:dyDescent="0.25">
      <c r="D441" s="2"/>
      <c r="E441" s="2"/>
    </row>
    <row r="442" spans="4:5" x14ac:dyDescent="0.25">
      <c r="D442" s="2"/>
      <c r="E442" s="2"/>
    </row>
    <row r="443" spans="4:5" x14ac:dyDescent="0.25">
      <c r="D443" s="2"/>
      <c r="E443" s="2"/>
    </row>
    <row r="444" spans="4:5" x14ac:dyDescent="0.25">
      <c r="D444" s="2"/>
      <c r="E444" s="2"/>
    </row>
    <row r="445" spans="4:5" x14ac:dyDescent="0.25">
      <c r="D445" s="2"/>
      <c r="E445" s="2"/>
    </row>
    <row r="446" spans="4:5" x14ac:dyDescent="0.25">
      <c r="D446" s="2"/>
      <c r="E446" s="2"/>
    </row>
    <row r="447" spans="4:5" x14ac:dyDescent="0.25">
      <c r="D447" s="2"/>
      <c r="E447" s="2"/>
    </row>
    <row r="448" spans="4:5" x14ac:dyDescent="0.25">
      <c r="D448" s="2"/>
      <c r="E448" s="2"/>
    </row>
    <row r="449" spans="4:5" x14ac:dyDescent="0.25">
      <c r="D449" s="2"/>
      <c r="E449" s="2"/>
    </row>
    <row r="450" spans="4:5" x14ac:dyDescent="0.25">
      <c r="D450" s="2"/>
      <c r="E450" s="2"/>
    </row>
    <row r="451" spans="4:5" x14ac:dyDescent="0.25">
      <c r="D451" s="2"/>
      <c r="E451" s="2"/>
    </row>
    <row r="452" spans="4:5" x14ac:dyDescent="0.25">
      <c r="D452" s="2"/>
      <c r="E452" s="2"/>
    </row>
    <row r="453" spans="4:5" x14ac:dyDescent="0.25">
      <c r="D453" s="2"/>
      <c r="E453" s="2"/>
    </row>
    <row r="454" spans="4:5" x14ac:dyDescent="0.25">
      <c r="D454" s="2"/>
      <c r="E454" s="2"/>
    </row>
    <row r="455" spans="4:5" x14ac:dyDescent="0.25">
      <c r="D455" s="2"/>
      <c r="E455" s="2"/>
    </row>
    <row r="456" spans="4:5" x14ac:dyDescent="0.25">
      <c r="D456" s="2"/>
      <c r="E456" s="2"/>
    </row>
    <row r="457" spans="4:5" x14ac:dyDescent="0.25">
      <c r="D457" s="2"/>
      <c r="E457" s="2"/>
    </row>
    <row r="458" spans="4:5" x14ac:dyDescent="0.25">
      <c r="D458" s="2"/>
      <c r="E458" s="2"/>
    </row>
    <row r="459" spans="4:5" x14ac:dyDescent="0.25">
      <c r="D459" s="2"/>
      <c r="E459" s="2"/>
    </row>
    <row r="460" spans="4:5" x14ac:dyDescent="0.25">
      <c r="D460" s="2"/>
      <c r="E460" s="2"/>
    </row>
    <row r="461" spans="4:5" x14ac:dyDescent="0.25">
      <c r="D461" s="2"/>
      <c r="E461" s="2"/>
    </row>
    <row r="462" spans="4:5" x14ac:dyDescent="0.25">
      <c r="D462" s="2"/>
      <c r="E462" s="2"/>
    </row>
    <row r="463" spans="4:5" x14ac:dyDescent="0.25">
      <c r="D463" s="2"/>
      <c r="E463" s="2"/>
    </row>
    <row r="464" spans="4:5" x14ac:dyDescent="0.25">
      <c r="D464" s="2"/>
      <c r="E464" s="2"/>
    </row>
    <row r="465" spans="4:5" x14ac:dyDescent="0.25">
      <c r="D465" s="2"/>
      <c r="E465" s="2"/>
    </row>
    <row r="466" spans="4:5" x14ac:dyDescent="0.25">
      <c r="D466" s="2"/>
      <c r="E466" s="2"/>
    </row>
    <row r="467" spans="4:5" x14ac:dyDescent="0.25">
      <c r="D467" s="2"/>
      <c r="E467" s="2"/>
    </row>
    <row r="468" spans="4:5" x14ac:dyDescent="0.25">
      <c r="D468" s="2"/>
      <c r="E468" s="2"/>
    </row>
    <row r="469" spans="4:5" x14ac:dyDescent="0.25">
      <c r="D469" s="2"/>
      <c r="E469" s="2"/>
    </row>
    <row r="470" spans="4:5" x14ac:dyDescent="0.25">
      <c r="D470" s="2"/>
      <c r="E470" s="2"/>
    </row>
    <row r="471" spans="4:5" x14ac:dyDescent="0.25">
      <c r="D471" s="2"/>
      <c r="E471" s="2"/>
    </row>
    <row r="472" spans="4:5" x14ac:dyDescent="0.25">
      <c r="D472" s="2"/>
      <c r="E472" s="2"/>
    </row>
    <row r="473" spans="4:5" x14ac:dyDescent="0.25">
      <c r="D473" s="2"/>
      <c r="E473" s="2"/>
    </row>
    <row r="474" spans="4:5" x14ac:dyDescent="0.25">
      <c r="D474" s="2"/>
      <c r="E474" s="2"/>
    </row>
    <row r="475" spans="4:5" x14ac:dyDescent="0.25">
      <c r="D475" s="2"/>
      <c r="E475" s="2"/>
    </row>
    <row r="476" spans="4:5" x14ac:dyDescent="0.25">
      <c r="D476" s="2"/>
      <c r="E476" s="2"/>
    </row>
    <row r="477" spans="4:5" x14ac:dyDescent="0.25">
      <c r="D477" s="2"/>
      <c r="E477" s="2"/>
    </row>
    <row r="478" spans="4:5" x14ac:dyDescent="0.25">
      <c r="D478" s="2"/>
      <c r="E478" s="2"/>
    </row>
    <row r="479" spans="4:5" x14ac:dyDescent="0.25">
      <c r="D479" s="2"/>
      <c r="E479" s="2"/>
    </row>
    <row r="480" spans="4:5" x14ac:dyDescent="0.25">
      <c r="D480" s="2"/>
      <c r="E480" s="2"/>
    </row>
    <row r="481" spans="4:5" x14ac:dyDescent="0.25">
      <c r="D481" s="2"/>
      <c r="E481" s="2"/>
    </row>
    <row r="482" spans="4:5" x14ac:dyDescent="0.25">
      <c r="D482" s="2"/>
      <c r="E482" s="2"/>
    </row>
    <row r="483" spans="4:5" x14ac:dyDescent="0.25">
      <c r="D483" s="2"/>
      <c r="E483" s="2"/>
    </row>
    <row r="484" spans="4:5" x14ac:dyDescent="0.25">
      <c r="D484" s="2"/>
      <c r="E484" s="2"/>
    </row>
    <row r="485" spans="4:5" x14ac:dyDescent="0.25">
      <c r="D485" s="2"/>
      <c r="E485" s="2"/>
    </row>
    <row r="486" spans="4:5" x14ac:dyDescent="0.25">
      <c r="D486" s="2"/>
      <c r="E486" s="2"/>
    </row>
    <row r="487" spans="4:5" x14ac:dyDescent="0.25">
      <c r="D487" s="2"/>
      <c r="E487" s="2"/>
    </row>
    <row r="488" spans="4:5" x14ac:dyDescent="0.25">
      <c r="D488" s="2"/>
      <c r="E488" s="2"/>
    </row>
    <row r="489" spans="4:5" x14ac:dyDescent="0.25">
      <c r="D489" s="2"/>
      <c r="E489" s="2"/>
    </row>
    <row r="490" spans="4:5" x14ac:dyDescent="0.25">
      <c r="D490" s="2"/>
      <c r="E490" s="2"/>
    </row>
    <row r="491" spans="4:5" x14ac:dyDescent="0.25">
      <c r="D491" s="2"/>
      <c r="E491" s="2"/>
    </row>
    <row r="492" spans="4:5" x14ac:dyDescent="0.25">
      <c r="D492" s="2"/>
      <c r="E492" s="2"/>
    </row>
    <row r="493" spans="4:5" x14ac:dyDescent="0.25">
      <c r="D493" s="2"/>
      <c r="E493" s="2"/>
    </row>
    <row r="494" spans="4:5" x14ac:dyDescent="0.25">
      <c r="D494" s="2"/>
      <c r="E494" s="2"/>
    </row>
    <row r="495" spans="4:5" x14ac:dyDescent="0.25">
      <c r="D495" s="2"/>
      <c r="E495" s="2"/>
    </row>
    <row r="496" spans="4:5" x14ac:dyDescent="0.25">
      <c r="D496" s="2"/>
      <c r="E496" s="2"/>
    </row>
    <row r="497" spans="4:5" x14ac:dyDescent="0.25">
      <c r="D497" s="2"/>
      <c r="E497" s="2"/>
    </row>
    <row r="498" spans="4:5" x14ac:dyDescent="0.25">
      <c r="D498" s="2"/>
      <c r="E498" s="2"/>
    </row>
    <row r="499" spans="4:5" x14ac:dyDescent="0.25">
      <c r="D499" s="2"/>
      <c r="E499" s="2"/>
    </row>
    <row r="500" spans="4:5" x14ac:dyDescent="0.25">
      <c r="D500" s="2"/>
      <c r="E500" s="2"/>
    </row>
    <row r="501" spans="4:5" x14ac:dyDescent="0.25">
      <c r="D501" s="2"/>
      <c r="E501" s="2"/>
    </row>
    <row r="502" spans="4:5" x14ac:dyDescent="0.25">
      <c r="D502" s="2"/>
      <c r="E502" s="2"/>
    </row>
    <row r="503" spans="4:5" x14ac:dyDescent="0.25">
      <c r="D503" s="2"/>
      <c r="E503" s="2"/>
    </row>
    <row r="504" spans="4:5" x14ac:dyDescent="0.25">
      <c r="D504" s="2"/>
      <c r="E504" s="2"/>
    </row>
    <row r="505" spans="4:5" x14ac:dyDescent="0.25">
      <c r="D505" s="2"/>
      <c r="E505" s="2"/>
    </row>
    <row r="506" spans="4:5" x14ac:dyDescent="0.25">
      <c r="D506" s="2"/>
      <c r="E506" s="2"/>
    </row>
    <row r="507" spans="4:5" x14ac:dyDescent="0.25">
      <c r="D507" s="2"/>
      <c r="E507" s="2"/>
    </row>
    <row r="508" spans="4:5" x14ac:dyDescent="0.25">
      <c r="D508" s="2"/>
      <c r="E508" s="2"/>
    </row>
    <row r="509" spans="4:5" x14ac:dyDescent="0.25">
      <c r="D509" s="2"/>
      <c r="E509" s="2"/>
    </row>
    <row r="510" spans="4:5" x14ac:dyDescent="0.25">
      <c r="D510" s="2"/>
      <c r="E510" s="2"/>
    </row>
    <row r="511" spans="4:5" x14ac:dyDescent="0.25">
      <c r="D511" s="2"/>
      <c r="E511" s="2"/>
    </row>
    <row r="512" spans="4:5" x14ac:dyDescent="0.25">
      <c r="D512" s="2"/>
      <c r="E512" s="2"/>
    </row>
    <row r="513" spans="4:5" x14ac:dyDescent="0.25">
      <c r="D513" s="2"/>
      <c r="E513" s="2"/>
    </row>
    <row r="514" spans="4:5" x14ac:dyDescent="0.25">
      <c r="D514" s="2"/>
      <c r="E514" s="2"/>
    </row>
    <row r="515" spans="4:5" x14ac:dyDescent="0.25">
      <c r="D515" s="2"/>
      <c r="E515" s="2"/>
    </row>
    <row r="516" spans="4:5" x14ac:dyDescent="0.25">
      <c r="D516" s="2"/>
      <c r="E516" s="2"/>
    </row>
    <row r="517" spans="4:5" x14ac:dyDescent="0.25">
      <c r="D517" s="2"/>
      <c r="E517" s="2"/>
    </row>
    <row r="518" spans="4:5" x14ac:dyDescent="0.25">
      <c r="D518" s="2"/>
      <c r="E518" s="2"/>
    </row>
    <row r="519" spans="4:5" x14ac:dyDescent="0.25">
      <c r="D519" s="2"/>
      <c r="E519" s="2"/>
    </row>
    <row r="520" spans="4:5" x14ac:dyDescent="0.25">
      <c r="D520" s="2"/>
      <c r="E520" s="2"/>
    </row>
    <row r="521" spans="4:5" x14ac:dyDescent="0.25">
      <c r="D521" s="2"/>
      <c r="E521" s="2"/>
    </row>
    <row r="522" spans="4:5" x14ac:dyDescent="0.25">
      <c r="D522" s="2"/>
      <c r="E522" s="2"/>
    </row>
    <row r="523" spans="4:5" x14ac:dyDescent="0.25">
      <c r="D523" s="2"/>
      <c r="E523" s="2"/>
    </row>
    <row r="524" spans="4:5" x14ac:dyDescent="0.25">
      <c r="D524" s="2"/>
      <c r="E524" s="2"/>
    </row>
    <row r="525" spans="4:5" x14ac:dyDescent="0.25">
      <c r="D525" s="2"/>
      <c r="E525" s="2"/>
    </row>
    <row r="526" spans="4:5" x14ac:dyDescent="0.25">
      <c r="D526" s="2"/>
      <c r="E526" s="2"/>
    </row>
    <row r="527" spans="4:5" x14ac:dyDescent="0.25">
      <c r="D527" s="2"/>
      <c r="E527" s="2"/>
    </row>
    <row r="528" spans="4:5" x14ac:dyDescent="0.25">
      <c r="D528" s="2"/>
      <c r="E528" s="2"/>
    </row>
    <row r="529" spans="4:5" x14ac:dyDescent="0.25">
      <c r="D529" s="2"/>
      <c r="E529" s="2"/>
    </row>
    <row r="530" spans="4:5" x14ac:dyDescent="0.25">
      <c r="D530" s="2"/>
      <c r="E530" s="2"/>
    </row>
    <row r="531" spans="4:5" x14ac:dyDescent="0.25">
      <c r="D531" s="2"/>
      <c r="E531" s="2"/>
    </row>
    <row r="532" spans="4:5" x14ac:dyDescent="0.25">
      <c r="D532" s="2"/>
      <c r="E532" s="2"/>
    </row>
    <row r="533" spans="4:5" x14ac:dyDescent="0.25">
      <c r="D533" s="2"/>
      <c r="E533" s="2"/>
    </row>
    <row r="534" spans="4:5" x14ac:dyDescent="0.25">
      <c r="D534" s="2"/>
      <c r="E534" s="2"/>
    </row>
    <row r="535" spans="4:5" x14ac:dyDescent="0.25">
      <c r="D535" s="2"/>
      <c r="E535" s="2"/>
    </row>
    <row r="536" spans="4:5" x14ac:dyDescent="0.25">
      <c r="D536" s="2"/>
      <c r="E536" s="2"/>
    </row>
    <row r="537" spans="4:5" x14ac:dyDescent="0.25">
      <c r="D537" s="2"/>
      <c r="E537" s="2"/>
    </row>
    <row r="538" spans="4:5" x14ac:dyDescent="0.25">
      <c r="D538" s="2"/>
      <c r="E538" s="2"/>
    </row>
    <row r="539" spans="4:5" x14ac:dyDescent="0.25">
      <c r="D539" s="2"/>
      <c r="E539" s="2"/>
    </row>
    <row r="540" spans="4:5" x14ac:dyDescent="0.25">
      <c r="D540" s="2"/>
      <c r="E540" s="2"/>
    </row>
    <row r="541" spans="4:5" x14ac:dyDescent="0.25">
      <c r="D541" s="2"/>
      <c r="E541" s="2"/>
    </row>
    <row r="542" spans="4:5" x14ac:dyDescent="0.25">
      <c r="D542" s="2"/>
      <c r="E542" s="2"/>
    </row>
    <row r="543" spans="4:5" x14ac:dyDescent="0.25">
      <c r="D543" s="2"/>
      <c r="E543" s="2"/>
    </row>
    <row r="544" spans="4:5" x14ac:dyDescent="0.25">
      <c r="D544" s="2"/>
      <c r="E544" s="2"/>
    </row>
    <row r="545" spans="4:5" x14ac:dyDescent="0.25">
      <c r="D545" s="2"/>
      <c r="E545" s="2"/>
    </row>
    <row r="546" spans="4:5" x14ac:dyDescent="0.25">
      <c r="D546" s="2"/>
      <c r="E546" s="2"/>
    </row>
    <row r="547" spans="4:5" x14ac:dyDescent="0.25">
      <c r="D547" s="2"/>
      <c r="E547" s="2"/>
    </row>
    <row r="548" spans="4:5" x14ac:dyDescent="0.25">
      <c r="D548" s="2"/>
      <c r="E548" s="2"/>
    </row>
    <row r="549" spans="4:5" x14ac:dyDescent="0.25">
      <c r="D549" s="2"/>
      <c r="E549" s="2"/>
    </row>
    <row r="550" spans="4:5" x14ac:dyDescent="0.25">
      <c r="D550" s="2"/>
      <c r="E550" s="2"/>
    </row>
    <row r="551" spans="4:5" x14ac:dyDescent="0.25">
      <c r="D551" s="2"/>
      <c r="E551" s="2"/>
    </row>
    <row r="552" spans="4:5" x14ac:dyDescent="0.25">
      <c r="D552" s="2"/>
      <c r="E552" s="2"/>
    </row>
    <row r="553" spans="4:5" x14ac:dyDescent="0.25">
      <c r="D553" s="2"/>
      <c r="E553" s="2"/>
    </row>
    <row r="554" spans="4:5" x14ac:dyDescent="0.25">
      <c r="D554" s="2"/>
      <c r="E554" s="2"/>
    </row>
    <row r="555" spans="4:5" x14ac:dyDescent="0.25">
      <c r="D555" s="2"/>
      <c r="E555" s="2"/>
    </row>
    <row r="556" spans="4:5" x14ac:dyDescent="0.25">
      <c r="D556" s="2"/>
      <c r="E556" s="2"/>
    </row>
    <row r="557" spans="4:5" x14ac:dyDescent="0.25">
      <c r="D557" s="2"/>
      <c r="E557" s="2"/>
    </row>
    <row r="558" spans="4:5" x14ac:dyDescent="0.25">
      <c r="D558" s="2"/>
      <c r="E558" s="2"/>
    </row>
    <row r="559" spans="4:5" x14ac:dyDescent="0.25">
      <c r="D559" s="2"/>
      <c r="E559" s="2"/>
    </row>
    <row r="560" spans="4:5" x14ac:dyDescent="0.25">
      <c r="D560" s="2"/>
      <c r="E560" s="2"/>
    </row>
    <row r="561" spans="4:5" x14ac:dyDescent="0.25">
      <c r="D561" s="2"/>
      <c r="E561" s="2"/>
    </row>
    <row r="562" spans="4:5" x14ac:dyDescent="0.25">
      <c r="D562" s="2"/>
      <c r="E562" s="2"/>
    </row>
    <row r="563" spans="4:5" x14ac:dyDescent="0.25">
      <c r="D563" s="2"/>
      <c r="E563" s="2"/>
    </row>
    <row r="564" spans="4:5" x14ac:dyDescent="0.25">
      <c r="D564" s="2"/>
      <c r="E564" s="2"/>
    </row>
    <row r="565" spans="4:5" x14ac:dyDescent="0.25">
      <c r="D565" s="2"/>
      <c r="E565" s="2"/>
    </row>
    <row r="566" spans="4:5" x14ac:dyDescent="0.25">
      <c r="D566" s="2"/>
      <c r="E566" s="2"/>
    </row>
    <row r="567" spans="4:5" x14ac:dyDescent="0.25">
      <c r="D567" s="2"/>
      <c r="E567" s="2"/>
    </row>
    <row r="568" spans="4:5" x14ac:dyDescent="0.25">
      <c r="D568" s="2"/>
      <c r="E568" s="2"/>
    </row>
    <row r="569" spans="4:5" x14ac:dyDescent="0.25">
      <c r="D569" s="2"/>
      <c r="E569" s="2"/>
    </row>
    <row r="570" spans="4:5" x14ac:dyDescent="0.25">
      <c r="D570" s="2"/>
      <c r="E570" s="2"/>
    </row>
    <row r="571" spans="4:5" x14ac:dyDescent="0.25">
      <c r="D571" s="2"/>
      <c r="E571" s="2"/>
    </row>
    <row r="572" spans="4:5" x14ac:dyDescent="0.25">
      <c r="D572" s="2"/>
      <c r="E572" s="2"/>
    </row>
    <row r="573" spans="4:5" x14ac:dyDescent="0.25">
      <c r="D573" s="2"/>
      <c r="E573" s="2"/>
    </row>
    <row r="574" spans="4:5" x14ac:dyDescent="0.25">
      <c r="D574" s="2"/>
      <c r="E574" s="2"/>
    </row>
    <row r="575" spans="4:5" x14ac:dyDescent="0.25">
      <c r="D575" s="2"/>
      <c r="E575" s="2"/>
    </row>
    <row r="576" spans="4:5" x14ac:dyDescent="0.25">
      <c r="D576" s="2"/>
      <c r="E576" s="2"/>
    </row>
    <row r="577" spans="4:5" x14ac:dyDescent="0.25">
      <c r="D577" s="2"/>
      <c r="E577" s="2"/>
    </row>
    <row r="578" spans="4:5" x14ac:dyDescent="0.25">
      <c r="D578" s="2"/>
      <c r="E578" s="2"/>
    </row>
    <row r="579" spans="4:5" x14ac:dyDescent="0.25">
      <c r="D579" s="2"/>
      <c r="E579" s="2"/>
    </row>
    <row r="580" spans="4:5" x14ac:dyDescent="0.25">
      <c r="D580" s="2"/>
      <c r="E580" s="2"/>
    </row>
    <row r="581" spans="4:5" x14ac:dyDescent="0.25">
      <c r="D581" s="2"/>
      <c r="E581" s="2"/>
    </row>
    <row r="582" spans="4:5" x14ac:dyDescent="0.25">
      <c r="D582" s="2"/>
      <c r="E582" s="2"/>
    </row>
    <row r="583" spans="4:5" x14ac:dyDescent="0.25">
      <c r="D583" s="2"/>
      <c r="E583" s="2"/>
    </row>
    <row r="584" spans="4:5" x14ac:dyDescent="0.25">
      <c r="D584" s="2"/>
      <c r="E584" s="2"/>
    </row>
    <row r="585" spans="4:5" x14ac:dyDescent="0.25">
      <c r="D585" s="2"/>
      <c r="E585" s="2"/>
    </row>
    <row r="586" spans="4:5" x14ac:dyDescent="0.25">
      <c r="D586" s="2"/>
      <c r="E586" s="2"/>
    </row>
    <row r="587" spans="4:5" x14ac:dyDescent="0.25">
      <c r="D587" s="2"/>
      <c r="E587" s="2"/>
    </row>
    <row r="588" spans="4:5" x14ac:dyDescent="0.25">
      <c r="D588" s="2"/>
      <c r="E588" s="2"/>
    </row>
    <row r="589" spans="4:5" x14ac:dyDescent="0.25">
      <c r="D589" s="2"/>
      <c r="E589" s="2"/>
    </row>
    <row r="590" spans="4:5" x14ac:dyDescent="0.25">
      <c r="D590" s="2"/>
      <c r="E590" s="2"/>
    </row>
    <row r="591" spans="4:5" x14ac:dyDescent="0.25">
      <c r="D591" s="2"/>
      <c r="E591" s="2"/>
    </row>
    <row r="592" spans="4:5" x14ac:dyDescent="0.25">
      <c r="D592" s="2"/>
      <c r="E592" s="2"/>
    </row>
    <row r="593" spans="4:5" x14ac:dyDescent="0.25">
      <c r="D593" s="2"/>
      <c r="E593" s="2"/>
    </row>
    <row r="594" spans="4:5" x14ac:dyDescent="0.25">
      <c r="D594" s="2"/>
      <c r="E594" s="2"/>
    </row>
    <row r="595" spans="4:5" x14ac:dyDescent="0.25">
      <c r="D595" s="2"/>
      <c r="E595" s="2"/>
    </row>
    <row r="596" spans="4:5" x14ac:dyDescent="0.25">
      <c r="D596" s="2"/>
      <c r="E596" s="2"/>
    </row>
    <row r="597" spans="4:5" x14ac:dyDescent="0.25">
      <c r="D597" s="2"/>
      <c r="E597" s="2"/>
    </row>
    <row r="598" spans="4:5" x14ac:dyDescent="0.25">
      <c r="D598" s="2"/>
      <c r="E598" s="2"/>
    </row>
    <row r="599" spans="4:5" x14ac:dyDescent="0.25">
      <c r="D599" s="2"/>
      <c r="E599" s="2"/>
    </row>
    <row r="600" spans="4:5" x14ac:dyDescent="0.25">
      <c r="D600" s="2"/>
      <c r="E600" s="2"/>
    </row>
    <row r="601" spans="4:5" x14ac:dyDescent="0.25">
      <c r="D601" s="2"/>
      <c r="E601" s="2"/>
    </row>
    <row r="602" spans="4:5" x14ac:dyDescent="0.25">
      <c r="D602" s="2"/>
      <c r="E602" s="2"/>
    </row>
    <row r="603" spans="4:5" x14ac:dyDescent="0.25">
      <c r="D603" s="2"/>
      <c r="E603" s="2"/>
    </row>
    <row r="604" spans="4:5" x14ac:dyDescent="0.25">
      <c r="D604" s="2"/>
      <c r="E604" s="2"/>
    </row>
    <row r="605" spans="4:5" x14ac:dyDescent="0.25">
      <c r="D605" s="2"/>
      <c r="E605" s="2"/>
    </row>
    <row r="606" spans="4:5" x14ac:dyDescent="0.25">
      <c r="D606" s="2"/>
      <c r="E606" s="2"/>
    </row>
    <row r="607" spans="4:5" x14ac:dyDescent="0.25">
      <c r="D607" s="2"/>
      <c r="E607" s="2"/>
    </row>
    <row r="608" spans="4:5" x14ac:dyDescent="0.25">
      <c r="D608" s="2"/>
      <c r="E608" s="2"/>
    </row>
    <row r="609" spans="4:5" x14ac:dyDescent="0.25">
      <c r="D609" s="2"/>
      <c r="E609" s="2"/>
    </row>
    <row r="610" spans="4:5" x14ac:dyDescent="0.25">
      <c r="D610" s="2"/>
      <c r="E610" s="2"/>
    </row>
    <row r="611" spans="4:5" x14ac:dyDescent="0.25">
      <c r="D611" s="2"/>
      <c r="E611" s="2"/>
    </row>
    <row r="612" spans="4:5" x14ac:dyDescent="0.25">
      <c r="D612" s="2"/>
      <c r="E612" s="2"/>
    </row>
    <row r="613" spans="4:5" x14ac:dyDescent="0.25">
      <c r="D613" s="2"/>
      <c r="E613" s="2"/>
    </row>
    <row r="614" spans="4:5" x14ac:dyDescent="0.25">
      <c r="D614" s="2"/>
      <c r="E614" s="2"/>
    </row>
    <row r="615" spans="4:5" x14ac:dyDescent="0.25">
      <c r="D615" s="2"/>
      <c r="E615" s="2"/>
    </row>
    <row r="616" spans="4:5" x14ac:dyDescent="0.25">
      <c r="D616" s="2"/>
      <c r="E616" s="2"/>
    </row>
    <row r="617" spans="4:5" x14ac:dyDescent="0.25">
      <c r="D617" s="2"/>
      <c r="E617" s="2"/>
    </row>
    <row r="618" spans="4:5" x14ac:dyDescent="0.25">
      <c r="D618" s="2"/>
      <c r="E618" s="2"/>
    </row>
    <row r="619" spans="4:5" x14ac:dyDescent="0.25">
      <c r="D619" s="2"/>
      <c r="E619" s="2"/>
    </row>
    <row r="620" spans="4:5" x14ac:dyDescent="0.25">
      <c r="D620" s="2"/>
      <c r="E620" s="2"/>
    </row>
    <row r="621" spans="4:5" x14ac:dyDescent="0.25">
      <c r="D621" s="2"/>
      <c r="E621" s="2"/>
    </row>
    <row r="622" spans="4:5" x14ac:dyDescent="0.25">
      <c r="D622" s="2"/>
      <c r="E622" s="2"/>
    </row>
    <row r="623" spans="4:5" x14ac:dyDescent="0.25">
      <c r="D623" s="2"/>
      <c r="E623" s="2"/>
    </row>
    <row r="624" spans="4:5" x14ac:dyDescent="0.25">
      <c r="D624" s="2"/>
      <c r="E624" s="2"/>
    </row>
    <row r="625" spans="4:5" x14ac:dyDescent="0.25">
      <c r="D625" s="2"/>
      <c r="E625" s="2"/>
    </row>
    <row r="626" spans="4:5" x14ac:dyDescent="0.25">
      <c r="D626" s="2"/>
      <c r="E626" s="2"/>
    </row>
    <row r="627" spans="4:5" x14ac:dyDescent="0.25">
      <c r="D627" s="2"/>
      <c r="E627" s="2"/>
    </row>
    <row r="628" spans="4:5" x14ac:dyDescent="0.25">
      <c r="D628" s="2"/>
      <c r="E628" s="2"/>
    </row>
    <row r="629" spans="4:5" x14ac:dyDescent="0.25">
      <c r="D629" s="2"/>
      <c r="E629" s="2"/>
    </row>
    <row r="630" spans="4:5" x14ac:dyDescent="0.25">
      <c r="D630" s="2"/>
      <c r="E630" s="2"/>
    </row>
    <row r="631" spans="4:5" x14ac:dyDescent="0.25">
      <c r="D631" s="2"/>
      <c r="E631" s="2"/>
    </row>
    <row r="632" spans="4:5" x14ac:dyDescent="0.25">
      <c r="D632" s="2"/>
      <c r="E632" s="2"/>
    </row>
    <row r="633" spans="4:5" x14ac:dyDescent="0.25">
      <c r="D633" s="2"/>
      <c r="E633" s="2"/>
    </row>
    <row r="634" spans="4:5" x14ac:dyDescent="0.25">
      <c r="D634" s="2"/>
      <c r="E634" s="2"/>
    </row>
    <row r="635" spans="4:5" x14ac:dyDescent="0.25">
      <c r="D635" s="2"/>
      <c r="E635" s="2"/>
    </row>
    <row r="636" spans="4:5" x14ac:dyDescent="0.25">
      <c r="D636" s="2"/>
      <c r="E636" s="2"/>
    </row>
    <row r="637" spans="4:5" x14ac:dyDescent="0.25">
      <c r="D637" s="2"/>
      <c r="E637" s="2"/>
    </row>
    <row r="638" spans="4:5" x14ac:dyDescent="0.25">
      <c r="D638" s="2"/>
      <c r="E638" s="2"/>
    </row>
    <row r="639" spans="4:5" x14ac:dyDescent="0.25">
      <c r="D639" s="2"/>
      <c r="E639" s="2"/>
    </row>
    <row r="640" spans="4:5" x14ac:dyDescent="0.25">
      <c r="D640" s="2"/>
      <c r="E640" s="2"/>
    </row>
    <row r="641" spans="4:5" x14ac:dyDescent="0.25">
      <c r="D641" s="2"/>
      <c r="E641" s="2"/>
    </row>
    <row r="642" spans="4:5" x14ac:dyDescent="0.25">
      <c r="D642" s="2"/>
      <c r="E642" s="2"/>
    </row>
    <row r="643" spans="4:5" x14ac:dyDescent="0.25">
      <c r="D643" s="2"/>
      <c r="E643" s="2"/>
    </row>
    <row r="644" spans="4:5" x14ac:dyDescent="0.25">
      <c r="D644" s="2"/>
      <c r="E644" s="2"/>
    </row>
    <row r="645" spans="4:5" x14ac:dyDescent="0.25">
      <c r="D645" s="2"/>
      <c r="E645" s="2"/>
    </row>
    <row r="646" spans="4:5" x14ac:dyDescent="0.25">
      <c r="D646" s="2"/>
      <c r="E646" s="2"/>
    </row>
    <row r="647" spans="4:5" x14ac:dyDescent="0.25">
      <c r="D647" s="2"/>
      <c r="E647" s="2"/>
    </row>
    <row r="648" spans="4:5" x14ac:dyDescent="0.25">
      <c r="D648" s="2"/>
      <c r="E648" s="2"/>
    </row>
    <row r="649" spans="4:5" x14ac:dyDescent="0.25">
      <c r="D649" s="2"/>
      <c r="E649" s="2"/>
    </row>
    <row r="650" spans="4:5" x14ac:dyDescent="0.25">
      <c r="D650" s="2"/>
      <c r="E650" s="2"/>
    </row>
    <row r="651" spans="4:5" x14ac:dyDescent="0.25">
      <c r="D651" s="2"/>
      <c r="E651" s="2"/>
    </row>
    <row r="652" spans="4:5" x14ac:dyDescent="0.25">
      <c r="D652" s="2"/>
      <c r="E652" s="2"/>
    </row>
    <row r="653" spans="4:5" x14ac:dyDescent="0.25">
      <c r="D653" s="2"/>
      <c r="E653" s="2"/>
    </row>
    <row r="654" spans="4:5" x14ac:dyDescent="0.25">
      <c r="D654" s="2"/>
      <c r="E654" s="2"/>
    </row>
    <row r="655" spans="4:5" x14ac:dyDescent="0.25">
      <c r="D655" s="2"/>
      <c r="E655" s="2"/>
    </row>
    <row r="656" spans="4:5" x14ac:dyDescent="0.25">
      <c r="D656" s="2"/>
      <c r="E656" s="2"/>
    </row>
    <row r="657" spans="4:5" x14ac:dyDescent="0.25">
      <c r="D657" s="2"/>
      <c r="E657" s="2"/>
    </row>
    <row r="658" spans="4:5" x14ac:dyDescent="0.25">
      <c r="D658" s="2"/>
      <c r="E658" s="2"/>
    </row>
    <row r="659" spans="4:5" x14ac:dyDescent="0.25">
      <c r="D659" s="2"/>
      <c r="E659" s="2"/>
    </row>
    <row r="660" spans="4:5" x14ac:dyDescent="0.25">
      <c r="D660" s="2"/>
      <c r="E660" s="2"/>
    </row>
    <row r="661" spans="4:5" x14ac:dyDescent="0.25">
      <c r="D661" s="2"/>
      <c r="E661" s="2"/>
    </row>
    <row r="662" spans="4:5" x14ac:dyDescent="0.25">
      <c r="D662" s="2"/>
      <c r="E662" s="2"/>
    </row>
    <row r="663" spans="4:5" x14ac:dyDescent="0.25">
      <c r="D663" s="2"/>
      <c r="E663" s="2"/>
    </row>
    <row r="664" spans="4:5" x14ac:dyDescent="0.25">
      <c r="D664" s="2"/>
      <c r="E664" s="2"/>
    </row>
    <row r="665" spans="4:5" x14ac:dyDescent="0.25">
      <c r="D665" s="2"/>
      <c r="E665" s="2"/>
    </row>
    <row r="666" spans="4:5" x14ac:dyDescent="0.25">
      <c r="D666" s="2"/>
      <c r="E666" s="2"/>
    </row>
    <row r="667" spans="4:5" x14ac:dyDescent="0.25">
      <c r="D667" s="2"/>
      <c r="E667" s="2"/>
    </row>
    <row r="668" spans="4:5" x14ac:dyDescent="0.25">
      <c r="D668" s="2"/>
      <c r="E668" s="2"/>
    </row>
    <row r="669" spans="4:5" x14ac:dyDescent="0.25">
      <c r="D669" s="2"/>
      <c r="E669" s="2"/>
    </row>
    <row r="670" spans="4:5" x14ac:dyDescent="0.25">
      <c r="D670" s="2"/>
      <c r="E670" s="2"/>
    </row>
    <row r="671" spans="4:5" x14ac:dyDescent="0.25">
      <c r="D671" s="2"/>
      <c r="E671" s="2"/>
    </row>
    <row r="672" spans="4:5" x14ac:dyDescent="0.25">
      <c r="D672" s="2"/>
      <c r="E672" s="2"/>
    </row>
    <row r="673" spans="4:5" x14ac:dyDescent="0.25">
      <c r="D673" s="2"/>
      <c r="E673" s="2"/>
    </row>
    <row r="674" spans="4:5" x14ac:dyDescent="0.25">
      <c r="D674" s="2"/>
      <c r="E674" s="2"/>
    </row>
    <row r="675" spans="4:5" x14ac:dyDescent="0.25">
      <c r="D675" s="2"/>
      <c r="E675" s="2"/>
    </row>
    <row r="676" spans="4:5" x14ac:dyDescent="0.25">
      <c r="D676" s="2"/>
      <c r="E676" s="2"/>
    </row>
    <row r="677" spans="4:5" x14ac:dyDescent="0.25">
      <c r="D677" s="2"/>
      <c r="E677" s="2"/>
    </row>
    <row r="678" spans="4:5" x14ac:dyDescent="0.25">
      <c r="D678" s="2"/>
      <c r="E678" s="2"/>
    </row>
    <row r="679" spans="4:5" x14ac:dyDescent="0.25">
      <c r="D679" s="2"/>
      <c r="E679" s="2"/>
    </row>
    <row r="680" spans="4:5" x14ac:dyDescent="0.25">
      <c r="D680" s="2"/>
      <c r="E680" s="2"/>
    </row>
    <row r="681" spans="4:5" x14ac:dyDescent="0.25">
      <c r="D681" s="2"/>
      <c r="E681" s="2"/>
    </row>
    <row r="682" spans="4:5" x14ac:dyDescent="0.25">
      <c r="D682" s="2"/>
      <c r="E682" s="2"/>
    </row>
    <row r="683" spans="4:5" x14ac:dyDescent="0.25">
      <c r="D683" s="2"/>
      <c r="E683" s="2"/>
    </row>
    <row r="684" spans="4:5" x14ac:dyDescent="0.25">
      <c r="D684" s="2"/>
      <c r="E684" s="2"/>
    </row>
    <row r="685" spans="4:5" x14ac:dyDescent="0.25">
      <c r="D685" s="2"/>
      <c r="E685" s="2"/>
    </row>
    <row r="686" spans="4:5" x14ac:dyDescent="0.25">
      <c r="D686" s="2"/>
      <c r="E686" s="2"/>
    </row>
    <row r="687" spans="4:5" x14ac:dyDescent="0.25">
      <c r="D687" s="2"/>
      <c r="E687" s="2"/>
    </row>
    <row r="688" spans="4:5" x14ac:dyDescent="0.25">
      <c r="D688" s="2"/>
      <c r="E688" s="2"/>
    </row>
    <row r="689" spans="4:5" x14ac:dyDescent="0.25">
      <c r="D689" s="2"/>
      <c r="E689" s="2"/>
    </row>
    <row r="690" spans="4:5" x14ac:dyDescent="0.25">
      <c r="D690" s="2"/>
      <c r="E690" s="2"/>
    </row>
    <row r="691" spans="4:5" x14ac:dyDescent="0.25">
      <c r="D691" s="2"/>
      <c r="E691" s="2"/>
    </row>
    <row r="692" spans="4:5" x14ac:dyDescent="0.25">
      <c r="D692" s="2"/>
      <c r="E692" s="2"/>
    </row>
    <row r="693" spans="4:5" x14ac:dyDescent="0.25">
      <c r="D693" s="2"/>
      <c r="E693" s="2"/>
    </row>
    <row r="694" spans="4:5" x14ac:dyDescent="0.25">
      <c r="D694" s="2"/>
      <c r="E694" s="2"/>
    </row>
    <row r="695" spans="4:5" x14ac:dyDescent="0.25">
      <c r="D695" s="2"/>
      <c r="E695" s="2"/>
    </row>
    <row r="696" spans="4:5" x14ac:dyDescent="0.25">
      <c r="D696" s="2"/>
      <c r="E696" s="2"/>
    </row>
    <row r="697" spans="4:5" x14ac:dyDescent="0.25">
      <c r="D697" s="2"/>
      <c r="E697" s="2"/>
    </row>
    <row r="698" spans="4:5" x14ac:dyDescent="0.25">
      <c r="D698" s="2"/>
      <c r="E698" s="2"/>
    </row>
    <row r="699" spans="4:5" x14ac:dyDescent="0.25">
      <c r="D699" s="2"/>
      <c r="E699" s="2"/>
    </row>
    <row r="700" spans="4:5" x14ac:dyDescent="0.25">
      <c r="D700" s="2"/>
      <c r="E700" s="2"/>
    </row>
    <row r="701" spans="4:5" x14ac:dyDescent="0.25">
      <c r="D701" s="2"/>
      <c r="E701" s="2"/>
    </row>
    <row r="702" spans="4:5" x14ac:dyDescent="0.25">
      <c r="D702" s="2"/>
      <c r="E702" s="2"/>
    </row>
    <row r="703" spans="4:5" x14ac:dyDescent="0.25">
      <c r="D703" s="2"/>
      <c r="E703" s="2"/>
    </row>
    <row r="704" spans="4:5" x14ac:dyDescent="0.25">
      <c r="D704" s="2"/>
      <c r="E704" s="2"/>
    </row>
    <row r="705" spans="4:5" x14ac:dyDescent="0.25">
      <c r="D705" s="2"/>
      <c r="E705" s="2"/>
    </row>
    <row r="706" spans="4:5" x14ac:dyDescent="0.25">
      <c r="D706" s="2"/>
      <c r="E706" s="2"/>
    </row>
    <row r="707" spans="4:5" x14ac:dyDescent="0.25">
      <c r="D707" s="2"/>
      <c r="E707" s="2"/>
    </row>
    <row r="708" spans="4:5" x14ac:dyDescent="0.25">
      <c r="D708" s="2"/>
      <c r="E708" s="2"/>
    </row>
    <row r="709" spans="4:5" x14ac:dyDescent="0.25">
      <c r="D709" s="2"/>
      <c r="E709" s="2"/>
    </row>
    <row r="710" spans="4:5" x14ac:dyDescent="0.25">
      <c r="D710" s="2"/>
      <c r="E710" s="2"/>
    </row>
    <row r="711" spans="4:5" x14ac:dyDescent="0.25">
      <c r="D711" s="2"/>
      <c r="E711" s="2"/>
    </row>
    <row r="712" spans="4:5" x14ac:dyDescent="0.25">
      <c r="D712" s="2"/>
      <c r="E712" s="2"/>
    </row>
    <row r="713" spans="4:5" x14ac:dyDescent="0.25">
      <c r="D713" s="2"/>
      <c r="E713" s="2"/>
    </row>
    <row r="714" spans="4:5" x14ac:dyDescent="0.25">
      <c r="D714" s="2"/>
      <c r="E714" s="2"/>
    </row>
    <row r="715" spans="4:5" x14ac:dyDescent="0.25">
      <c r="D715" s="2"/>
      <c r="E715" s="2"/>
    </row>
    <row r="716" spans="4:5" x14ac:dyDescent="0.25">
      <c r="D716" s="2"/>
      <c r="E716" s="2"/>
    </row>
    <row r="717" spans="4:5" x14ac:dyDescent="0.25">
      <c r="D717" s="2"/>
      <c r="E717" s="2"/>
    </row>
    <row r="718" spans="4:5" x14ac:dyDescent="0.25">
      <c r="D718" s="2"/>
      <c r="E718" s="2"/>
    </row>
    <row r="719" spans="4:5" x14ac:dyDescent="0.25">
      <c r="D719" s="2"/>
      <c r="E719" s="2"/>
    </row>
    <row r="720" spans="4:5" x14ac:dyDescent="0.25">
      <c r="D720" s="2"/>
      <c r="E720" s="2"/>
    </row>
    <row r="721" spans="4:5" x14ac:dyDescent="0.25">
      <c r="D721" s="2"/>
      <c r="E721" s="2"/>
    </row>
    <row r="722" spans="4:5" x14ac:dyDescent="0.25">
      <c r="D722" s="2"/>
      <c r="E722" s="2"/>
    </row>
    <row r="723" spans="4:5" x14ac:dyDescent="0.25">
      <c r="D723" s="2"/>
      <c r="E723" s="2"/>
    </row>
    <row r="724" spans="4:5" x14ac:dyDescent="0.25">
      <c r="D724" s="2"/>
      <c r="E724" s="2"/>
    </row>
    <row r="725" spans="4:5" x14ac:dyDescent="0.25">
      <c r="D725" s="2"/>
      <c r="E725" s="2"/>
    </row>
    <row r="726" spans="4:5" x14ac:dyDescent="0.25">
      <c r="D726" s="2"/>
      <c r="E726" s="2"/>
    </row>
    <row r="727" spans="4:5" x14ac:dyDescent="0.25">
      <c r="D727" s="2"/>
      <c r="E727" s="2"/>
    </row>
    <row r="728" spans="4:5" x14ac:dyDescent="0.25">
      <c r="D728" s="2"/>
      <c r="E728" s="2"/>
    </row>
    <row r="729" spans="4:5" x14ac:dyDescent="0.25">
      <c r="D729" s="2"/>
      <c r="E729" s="2"/>
    </row>
    <row r="730" spans="4:5" x14ac:dyDescent="0.25">
      <c r="D730" s="2"/>
      <c r="E730" s="2"/>
    </row>
    <row r="731" spans="4:5" x14ac:dyDescent="0.25">
      <c r="D731" s="2"/>
      <c r="E731" s="2"/>
    </row>
    <row r="732" spans="4:5" x14ac:dyDescent="0.25">
      <c r="D732" s="2"/>
      <c r="E732" s="2"/>
    </row>
    <row r="733" spans="4:5" x14ac:dyDescent="0.25">
      <c r="D733" s="2"/>
      <c r="E733" s="2"/>
    </row>
    <row r="734" spans="4:5" x14ac:dyDescent="0.25">
      <c r="D734" s="2"/>
      <c r="E734" s="2"/>
    </row>
    <row r="735" spans="4:5" x14ac:dyDescent="0.25">
      <c r="D735" s="2"/>
      <c r="E735" s="2"/>
    </row>
    <row r="736" spans="4:5" x14ac:dyDescent="0.25">
      <c r="D736" s="2"/>
      <c r="E736" s="2"/>
    </row>
    <row r="737" spans="4:5" x14ac:dyDescent="0.25">
      <c r="D737" s="2"/>
      <c r="E737" s="2"/>
    </row>
    <row r="738" spans="4:5" x14ac:dyDescent="0.25">
      <c r="D738" s="2"/>
      <c r="E738" s="2"/>
    </row>
    <row r="739" spans="4:5" x14ac:dyDescent="0.25">
      <c r="D739" s="2"/>
      <c r="E739" s="2"/>
    </row>
    <row r="740" spans="4:5" x14ac:dyDescent="0.25">
      <c r="D740" s="2"/>
      <c r="E740" s="2"/>
    </row>
    <row r="741" spans="4:5" x14ac:dyDescent="0.25">
      <c r="D741" s="2"/>
      <c r="E741" s="2"/>
    </row>
    <row r="742" spans="4:5" x14ac:dyDescent="0.25">
      <c r="D742" s="2"/>
      <c r="E742" s="2"/>
    </row>
    <row r="743" spans="4:5" x14ac:dyDescent="0.25">
      <c r="D743" s="2"/>
      <c r="E743" s="2"/>
    </row>
    <row r="744" spans="4:5" x14ac:dyDescent="0.25">
      <c r="D744" s="2"/>
      <c r="E744" s="2"/>
    </row>
    <row r="745" spans="4:5" x14ac:dyDescent="0.25">
      <c r="D745" s="2"/>
      <c r="E745" s="2"/>
    </row>
    <row r="746" spans="4:5" x14ac:dyDescent="0.25">
      <c r="D746" s="2"/>
      <c r="E746" s="2"/>
    </row>
    <row r="747" spans="4:5" x14ac:dyDescent="0.25">
      <c r="D747" s="2"/>
      <c r="E747" s="2"/>
    </row>
    <row r="748" spans="4:5" x14ac:dyDescent="0.25">
      <c r="D748" s="2"/>
      <c r="E748" s="2"/>
    </row>
    <row r="749" spans="4:5" x14ac:dyDescent="0.25">
      <c r="D749" s="2"/>
      <c r="E749" s="2"/>
    </row>
    <row r="750" spans="4:5" x14ac:dyDescent="0.25">
      <c r="D750" s="2"/>
      <c r="E750" s="2"/>
    </row>
    <row r="751" spans="4:5" x14ac:dyDescent="0.25">
      <c r="D751" s="2"/>
      <c r="E751" s="2"/>
    </row>
    <row r="752" spans="4:5" x14ac:dyDescent="0.25">
      <c r="D752" s="2"/>
      <c r="E752" s="2"/>
    </row>
    <row r="753" spans="4:5" x14ac:dyDescent="0.25">
      <c r="D753" s="2"/>
      <c r="E753" s="2"/>
    </row>
    <row r="754" spans="4:5" x14ac:dyDescent="0.25">
      <c r="D754" s="2"/>
      <c r="E754" s="2"/>
    </row>
    <row r="755" spans="4:5" x14ac:dyDescent="0.25">
      <c r="D755" s="2"/>
      <c r="E755" s="2"/>
    </row>
    <row r="756" spans="4:5" x14ac:dyDescent="0.25">
      <c r="D756" s="2"/>
      <c r="E756" s="2"/>
    </row>
    <row r="757" spans="4:5" x14ac:dyDescent="0.25">
      <c r="D757" s="2"/>
      <c r="E757" s="2"/>
    </row>
    <row r="758" spans="4:5" x14ac:dyDescent="0.25">
      <c r="D758" s="2"/>
      <c r="E758" s="2"/>
    </row>
    <row r="759" spans="4:5" x14ac:dyDescent="0.25">
      <c r="D759" s="2"/>
      <c r="E759" s="2"/>
    </row>
    <row r="760" spans="4:5" x14ac:dyDescent="0.25">
      <c r="D760" s="2"/>
      <c r="E760" s="2"/>
    </row>
    <row r="761" spans="4:5" x14ac:dyDescent="0.25">
      <c r="D761" s="2"/>
      <c r="E761" s="2"/>
    </row>
    <row r="762" spans="4:5" x14ac:dyDescent="0.25">
      <c r="D762" s="2"/>
      <c r="E762" s="2"/>
    </row>
    <row r="763" spans="4:5" x14ac:dyDescent="0.25">
      <c r="D763" s="2"/>
      <c r="E763" s="2"/>
    </row>
    <row r="764" spans="4:5" x14ac:dyDescent="0.25">
      <c r="D764" s="2"/>
      <c r="E764" s="2"/>
    </row>
    <row r="765" spans="4:5" x14ac:dyDescent="0.25">
      <c r="D765" s="2"/>
      <c r="E765" s="2"/>
    </row>
    <row r="766" spans="4:5" x14ac:dyDescent="0.25">
      <c r="D766" s="2"/>
      <c r="E766" s="2"/>
    </row>
    <row r="767" spans="4:5" x14ac:dyDescent="0.25">
      <c r="D767" s="2"/>
      <c r="E767" s="2"/>
    </row>
    <row r="768" spans="4:5" x14ac:dyDescent="0.25">
      <c r="D768" s="2"/>
      <c r="E768" s="2"/>
    </row>
    <row r="769" spans="4:5" x14ac:dyDescent="0.25">
      <c r="D769" s="2"/>
      <c r="E769" s="2"/>
    </row>
    <row r="770" spans="4:5" x14ac:dyDescent="0.25">
      <c r="D770" s="2"/>
      <c r="E770" s="2"/>
    </row>
    <row r="771" spans="4:5" x14ac:dyDescent="0.25">
      <c r="D771" s="2"/>
      <c r="E771" s="2"/>
    </row>
    <row r="772" spans="4:5" x14ac:dyDescent="0.25">
      <c r="D772" s="2"/>
      <c r="E772" s="2"/>
    </row>
    <row r="773" spans="4:5" x14ac:dyDescent="0.25">
      <c r="D773" s="2"/>
      <c r="E773" s="2"/>
    </row>
    <row r="774" spans="4:5" x14ac:dyDescent="0.25">
      <c r="D774" s="2"/>
      <c r="E774" s="2"/>
    </row>
    <row r="775" spans="4:5" x14ac:dyDescent="0.25">
      <c r="D775" s="2"/>
      <c r="E775" s="2"/>
    </row>
    <row r="776" spans="4:5" x14ac:dyDescent="0.25">
      <c r="D776" s="2"/>
      <c r="E776" s="2"/>
    </row>
    <row r="777" spans="4:5" x14ac:dyDescent="0.25">
      <c r="D777" s="2"/>
      <c r="E777" s="2"/>
    </row>
    <row r="778" spans="4:5" x14ac:dyDescent="0.25">
      <c r="D778" s="2"/>
      <c r="E778" s="2"/>
    </row>
    <row r="779" spans="4:5" x14ac:dyDescent="0.25">
      <c r="D779" s="2"/>
      <c r="E779" s="2"/>
    </row>
    <row r="780" spans="4:5" x14ac:dyDescent="0.25">
      <c r="D780" s="2"/>
      <c r="E780" s="2"/>
    </row>
    <row r="781" spans="4:5" x14ac:dyDescent="0.25">
      <c r="D781" s="2"/>
      <c r="E781" s="2"/>
    </row>
    <row r="782" spans="4:5" x14ac:dyDescent="0.25">
      <c r="D782" s="2"/>
      <c r="E782" s="2"/>
    </row>
    <row r="783" spans="4:5" x14ac:dyDescent="0.25">
      <c r="D783" s="2"/>
      <c r="E783" s="2"/>
    </row>
    <row r="784" spans="4:5" x14ac:dyDescent="0.25">
      <c r="D784" s="2"/>
      <c r="E784" s="2"/>
    </row>
    <row r="785" spans="4:5" x14ac:dyDescent="0.25">
      <c r="D785" s="2"/>
      <c r="E785" s="2"/>
    </row>
    <row r="786" spans="4:5" x14ac:dyDescent="0.25">
      <c r="D786" s="2"/>
      <c r="E786" s="2"/>
    </row>
    <row r="787" spans="4:5" x14ac:dyDescent="0.25">
      <c r="D787" s="2"/>
      <c r="E787" s="2"/>
    </row>
    <row r="788" spans="4:5" x14ac:dyDescent="0.25">
      <c r="D788" s="2"/>
      <c r="E788" s="2"/>
    </row>
    <row r="789" spans="4:5" x14ac:dyDescent="0.25">
      <c r="D789" s="2"/>
      <c r="E789" s="2"/>
    </row>
    <row r="790" spans="4:5" x14ac:dyDescent="0.25">
      <c r="D790" s="2"/>
      <c r="E790" s="2"/>
    </row>
    <row r="791" spans="4:5" x14ac:dyDescent="0.25">
      <c r="D791" s="2"/>
      <c r="E791" s="2"/>
    </row>
    <row r="792" spans="4:5" x14ac:dyDescent="0.25">
      <c r="D792" s="2"/>
      <c r="E792" s="2"/>
    </row>
    <row r="793" spans="4:5" x14ac:dyDescent="0.25">
      <c r="D793" s="2"/>
      <c r="E793" s="2"/>
    </row>
    <row r="794" spans="4:5" x14ac:dyDescent="0.25">
      <c r="D794" s="2"/>
      <c r="E794" s="2"/>
    </row>
    <row r="795" spans="4:5" x14ac:dyDescent="0.25">
      <c r="D795" s="2"/>
      <c r="E795" s="2"/>
    </row>
    <row r="796" spans="4:5" x14ac:dyDescent="0.25">
      <c r="D796" s="2"/>
      <c r="E796" s="2"/>
    </row>
    <row r="797" spans="4:5" x14ac:dyDescent="0.25">
      <c r="D797" s="2"/>
      <c r="E797" s="2"/>
    </row>
    <row r="798" spans="4:5" x14ac:dyDescent="0.25">
      <c r="D798" s="2"/>
      <c r="E798" s="2"/>
    </row>
    <row r="799" spans="4:5" x14ac:dyDescent="0.25">
      <c r="D799" s="2"/>
      <c r="E799" s="2"/>
    </row>
    <row r="800" spans="4:5" x14ac:dyDescent="0.25">
      <c r="D800" s="2"/>
      <c r="E800" s="2"/>
    </row>
    <row r="801" spans="4:5" x14ac:dyDescent="0.25">
      <c r="D801" s="2"/>
      <c r="E801" s="2"/>
    </row>
    <row r="802" spans="4:5" x14ac:dyDescent="0.25">
      <c r="D802" s="2"/>
      <c r="E802" s="2"/>
    </row>
    <row r="803" spans="4:5" x14ac:dyDescent="0.25">
      <c r="D803" s="2"/>
      <c r="E803" s="2"/>
    </row>
    <row r="804" spans="4:5" x14ac:dyDescent="0.25">
      <c r="D804" s="2"/>
      <c r="E804" s="2"/>
    </row>
    <row r="805" spans="4:5" x14ac:dyDescent="0.25">
      <c r="D805" s="2"/>
      <c r="E805" s="2"/>
    </row>
    <row r="806" spans="4:5" x14ac:dyDescent="0.25">
      <c r="D806" s="2"/>
      <c r="E806" s="2"/>
    </row>
    <row r="807" spans="4:5" x14ac:dyDescent="0.25">
      <c r="D807" s="2"/>
      <c r="E807" s="2"/>
    </row>
    <row r="808" spans="4:5" x14ac:dyDescent="0.25">
      <c r="D808" s="2"/>
      <c r="E808" s="2"/>
    </row>
    <row r="809" spans="4:5" x14ac:dyDescent="0.25">
      <c r="D809" s="2"/>
      <c r="E809" s="2"/>
    </row>
    <row r="810" spans="4:5" x14ac:dyDescent="0.25">
      <c r="D810" s="2"/>
      <c r="E810" s="2"/>
    </row>
    <row r="811" spans="4:5" x14ac:dyDescent="0.25">
      <c r="D811" s="2"/>
      <c r="E811" s="2"/>
    </row>
    <row r="812" spans="4:5" x14ac:dyDescent="0.25">
      <c r="D812" s="2"/>
      <c r="E812" s="2"/>
    </row>
    <row r="813" spans="4:5" x14ac:dyDescent="0.25">
      <c r="D813" s="2"/>
      <c r="E813" s="2"/>
    </row>
    <row r="814" spans="4:5" x14ac:dyDescent="0.25">
      <c r="D814" s="2"/>
      <c r="E814" s="2"/>
    </row>
    <row r="815" spans="4:5" x14ac:dyDescent="0.25">
      <c r="D815" s="2"/>
      <c r="E815" s="2"/>
    </row>
    <row r="816" spans="4:5" x14ac:dyDescent="0.25">
      <c r="D816" s="2"/>
      <c r="E816" s="2"/>
    </row>
    <row r="817" spans="4:5" x14ac:dyDescent="0.25">
      <c r="D817" s="2"/>
      <c r="E817" s="2"/>
    </row>
    <row r="818" spans="4:5" x14ac:dyDescent="0.25">
      <c r="D818" s="2"/>
      <c r="E818" s="2"/>
    </row>
    <row r="819" spans="4:5" x14ac:dyDescent="0.25">
      <c r="D819" s="2"/>
      <c r="E819" s="2"/>
    </row>
    <row r="820" spans="4:5" x14ac:dyDescent="0.25">
      <c r="D820" s="2"/>
      <c r="E820" s="2"/>
    </row>
    <row r="821" spans="4:5" x14ac:dyDescent="0.25">
      <c r="D821" s="2"/>
      <c r="E821" s="2"/>
    </row>
    <row r="822" spans="4:5" x14ac:dyDescent="0.25">
      <c r="D822" s="2"/>
      <c r="E822" s="2"/>
    </row>
    <row r="823" spans="4:5" x14ac:dyDescent="0.25">
      <c r="D823" s="2"/>
      <c r="E823" s="2"/>
    </row>
    <row r="824" spans="4:5" x14ac:dyDescent="0.25">
      <c r="D824" s="2"/>
      <c r="E824" s="2"/>
    </row>
    <row r="825" spans="4:5" x14ac:dyDescent="0.25">
      <c r="D825" s="2"/>
      <c r="E825" s="2"/>
    </row>
    <row r="826" spans="4:5" x14ac:dyDescent="0.25">
      <c r="D826" s="2"/>
      <c r="E826" s="2"/>
    </row>
    <row r="827" spans="4:5" x14ac:dyDescent="0.25">
      <c r="D827" s="2"/>
      <c r="E827" s="2"/>
    </row>
    <row r="828" spans="4:5" x14ac:dyDescent="0.25">
      <c r="D828" s="2"/>
      <c r="E828" s="2"/>
    </row>
    <row r="829" spans="4:5" x14ac:dyDescent="0.25">
      <c r="D829" s="2"/>
      <c r="E829" s="2"/>
    </row>
    <row r="830" spans="4:5" x14ac:dyDescent="0.25">
      <c r="D830" s="2"/>
      <c r="E830" s="2"/>
    </row>
    <row r="831" spans="4:5" x14ac:dyDescent="0.25">
      <c r="D831" s="2"/>
      <c r="E831" s="2"/>
    </row>
    <row r="832" spans="4:5" x14ac:dyDescent="0.25">
      <c r="D832" s="2"/>
      <c r="E832" s="2"/>
    </row>
    <row r="833" spans="4:5" x14ac:dyDescent="0.25">
      <c r="D833" s="2"/>
      <c r="E833" s="2"/>
    </row>
    <row r="834" spans="4:5" x14ac:dyDescent="0.25">
      <c r="D834" s="2"/>
      <c r="E834" s="2"/>
    </row>
    <row r="835" spans="4:5" x14ac:dyDescent="0.25">
      <c r="D835" s="2"/>
      <c r="E835" s="2"/>
    </row>
    <row r="836" spans="4:5" x14ac:dyDescent="0.25">
      <c r="D836" s="2"/>
      <c r="E836" s="2"/>
    </row>
    <row r="837" spans="4:5" x14ac:dyDescent="0.25">
      <c r="D837" s="2"/>
      <c r="E837" s="2"/>
    </row>
    <row r="838" spans="4:5" x14ac:dyDescent="0.25">
      <c r="D838" s="2"/>
      <c r="E838" s="2"/>
    </row>
    <row r="839" spans="4:5" x14ac:dyDescent="0.25">
      <c r="D839" s="2"/>
      <c r="E839" s="2"/>
    </row>
    <row r="840" spans="4:5" x14ac:dyDescent="0.25">
      <c r="D840" s="2"/>
      <c r="E840" s="2"/>
    </row>
    <row r="841" spans="4:5" x14ac:dyDescent="0.25">
      <c r="D841" s="2"/>
      <c r="E841" s="2"/>
    </row>
    <row r="842" spans="4:5" x14ac:dyDescent="0.25">
      <c r="D842" s="2"/>
      <c r="E842" s="2"/>
    </row>
    <row r="843" spans="4:5" x14ac:dyDescent="0.25">
      <c r="D843" s="2"/>
      <c r="E843" s="2"/>
    </row>
    <row r="844" spans="4:5" x14ac:dyDescent="0.25">
      <c r="D844" s="2"/>
      <c r="E844" s="2"/>
    </row>
    <row r="845" spans="4:5" x14ac:dyDescent="0.25">
      <c r="D845" s="2"/>
      <c r="E845" s="2"/>
    </row>
    <row r="846" spans="4:5" x14ac:dyDescent="0.25">
      <c r="D846" s="2"/>
      <c r="E846" s="2"/>
    </row>
    <row r="847" spans="4:5" x14ac:dyDescent="0.25">
      <c r="D847" s="2"/>
      <c r="E847" s="2"/>
    </row>
    <row r="848" spans="4:5" x14ac:dyDescent="0.25">
      <c r="D848" s="2"/>
      <c r="E848" s="2"/>
    </row>
    <row r="849" spans="4:5" x14ac:dyDescent="0.25">
      <c r="D849" s="2"/>
      <c r="E849" s="2"/>
    </row>
    <row r="850" spans="4:5" x14ac:dyDescent="0.25">
      <c r="D850" s="2"/>
      <c r="E850" s="2"/>
    </row>
    <row r="851" spans="4:5" x14ac:dyDescent="0.25">
      <c r="D851" s="2"/>
      <c r="E851" s="2"/>
    </row>
    <row r="852" spans="4:5" x14ac:dyDescent="0.25">
      <c r="D852" s="2"/>
      <c r="E852" s="2"/>
    </row>
    <row r="853" spans="4:5" x14ac:dyDescent="0.25">
      <c r="D853" s="2"/>
      <c r="E853" s="2"/>
    </row>
    <row r="854" spans="4:5" x14ac:dyDescent="0.25">
      <c r="D854" s="2"/>
      <c r="E854" s="2"/>
    </row>
    <row r="855" spans="4:5" x14ac:dyDescent="0.25">
      <c r="D855" s="2"/>
      <c r="E855" s="2"/>
    </row>
    <row r="856" spans="4:5" x14ac:dyDescent="0.25">
      <c r="D856" s="2"/>
      <c r="E856" s="2"/>
    </row>
    <row r="857" spans="4:5" x14ac:dyDescent="0.25">
      <c r="D857" s="2"/>
      <c r="E857" s="2"/>
    </row>
    <row r="858" spans="4:5" x14ac:dyDescent="0.25">
      <c r="D858" s="2"/>
      <c r="E858" s="2"/>
    </row>
    <row r="859" spans="4:5" x14ac:dyDescent="0.25">
      <c r="D859" s="2"/>
      <c r="E859" s="2"/>
    </row>
    <row r="860" spans="4:5" x14ac:dyDescent="0.25">
      <c r="D860" s="2"/>
      <c r="E860" s="2"/>
    </row>
    <row r="861" spans="4:5" x14ac:dyDescent="0.25">
      <c r="D861" s="2"/>
      <c r="E861" s="2"/>
    </row>
    <row r="862" spans="4:5" x14ac:dyDescent="0.25">
      <c r="D862" s="2"/>
      <c r="E862" s="2"/>
    </row>
    <row r="863" spans="4:5" x14ac:dyDescent="0.25">
      <c r="D863" s="2"/>
      <c r="E863" s="2"/>
    </row>
    <row r="864" spans="4:5" x14ac:dyDescent="0.25">
      <c r="D864" s="2"/>
      <c r="E864" s="2"/>
    </row>
    <row r="865" spans="4:5" x14ac:dyDescent="0.25">
      <c r="D865" s="2"/>
      <c r="E865" s="2"/>
    </row>
    <row r="866" spans="4:5" x14ac:dyDescent="0.25">
      <c r="D866" s="2"/>
      <c r="E866" s="2"/>
    </row>
    <row r="867" spans="4:5" x14ac:dyDescent="0.25">
      <c r="D867" s="2"/>
      <c r="E867" s="2"/>
    </row>
    <row r="868" spans="4:5" x14ac:dyDescent="0.25">
      <c r="D868" s="2"/>
      <c r="E868" s="2"/>
    </row>
    <row r="869" spans="4:5" x14ac:dyDescent="0.25">
      <c r="D869" s="2"/>
      <c r="E869" s="2"/>
    </row>
    <row r="870" spans="4:5" x14ac:dyDescent="0.25">
      <c r="D870" s="2"/>
      <c r="E870" s="2"/>
    </row>
    <row r="871" spans="4:5" x14ac:dyDescent="0.25">
      <c r="D871" s="2"/>
      <c r="E871" s="2"/>
    </row>
    <row r="872" spans="4:5" x14ac:dyDescent="0.25">
      <c r="D872" s="2"/>
      <c r="E872" s="2"/>
    </row>
    <row r="873" spans="4:5" x14ac:dyDescent="0.25">
      <c r="D873" s="2"/>
      <c r="E873" s="2"/>
    </row>
    <row r="874" spans="4:5" x14ac:dyDescent="0.25">
      <c r="D874" s="2"/>
      <c r="E874" s="2"/>
    </row>
    <row r="875" spans="4:5" x14ac:dyDescent="0.25">
      <c r="D875" s="2"/>
      <c r="E875" s="2"/>
    </row>
    <row r="876" spans="4:5" x14ac:dyDescent="0.25">
      <c r="D876" s="2"/>
      <c r="E876" s="2"/>
    </row>
    <row r="877" spans="4:5" x14ac:dyDescent="0.25">
      <c r="D877" s="2"/>
      <c r="E877" s="2"/>
    </row>
    <row r="878" spans="4:5" x14ac:dyDescent="0.25">
      <c r="D878" s="2"/>
      <c r="E878" s="2"/>
    </row>
    <row r="879" spans="4:5" x14ac:dyDescent="0.25">
      <c r="D879" s="2"/>
      <c r="E879" s="2"/>
    </row>
    <row r="880" spans="4:5" x14ac:dyDescent="0.25">
      <c r="D880" s="2"/>
      <c r="E880" s="2"/>
    </row>
    <row r="881" spans="4:5" x14ac:dyDescent="0.25">
      <c r="D881" s="2"/>
      <c r="E881" s="2"/>
    </row>
    <row r="882" spans="4:5" x14ac:dyDescent="0.25">
      <c r="D882" s="2"/>
      <c r="E882" s="2"/>
    </row>
    <row r="883" spans="4:5" x14ac:dyDescent="0.25">
      <c r="D883" s="2"/>
      <c r="E883" s="2"/>
    </row>
    <row r="884" spans="4:5" x14ac:dyDescent="0.25">
      <c r="D884" s="2"/>
      <c r="E884" s="2"/>
    </row>
    <row r="885" spans="4:5" x14ac:dyDescent="0.25">
      <c r="D885" s="2"/>
      <c r="E885" s="2"/>
    </row>
    <row r="886" spans="4:5" x14ac:dyDescent="0.25">
      <c r="D886" s="2"/>
      <c r="E886" s="2"/>
    </row>
    <row r="887" spans="4:5" x14ac:dyDescent="0.25">
      <c r="D887" s="2"/>
      <c r="E887" s="2"/>
    </row>
    <row r="888" spans="4:5" x14ac:dyDescent="0.25">
      <c r="D888" s="2"/>
      <c r="E888" s="2"/>
    </row>
    <row r="889" spans="4:5" x14ac:dyDescent="0.25">
      <c r="D889" s="2"/>
      <c r="E889" s="2"/>
    </row>
    <row r="890" spans="4:5" x14ac:dyDescent="0.25">
      <c r="D890" s="2"/>
      <c r="E890" s="2"/>
    </row>
    <row r="891" spans="4:5" x14ac:dyDescent="0.25">
      <c r="D891" s="2"/>
      <c r="E891" s="2"/>
    </row>
    <row r="892" spans="4:5" x14ac:dyDescent="0.25">
      <c r="D892" s="2"/>
      <c r="E892" s="2"/>
    </row>
    <row r="893" spans="4:5" x14ac:dyDescent="0.25">
      <c r="D893" s="2"/>
      <c r="E893" s="2"/>
    </row>
    <row r="894" spans="4:5" x14ac:dyDescent="0.25">
      <c r="D894" s="2"/>
      <c r="E894" s="2"/>
    </row>
    <row r="895" spans="4:5" x14ac:dyDescent="0.25">
      <c r="D895" s="2"/>
      <c r="E895" s="2"/>
    </row>
    <row r="896" spans="4:5" x14ac:dyDescent="0.25">
      <c r="D896" s="2"/>
      <c r="E896" s="2"/>
    </row>
    <row r="897" spans="4:5" x14ac:dyDescent="0.25">
      <c r="D897" s="2"/>
      <c r="E897" s="2"/>
    </row>
    <row r="898" spans="4:5" x14ac:dyDescent="0.25">
      <c r="D898" s="2"/>
      <c r="E898" s="2"/>
    </row>
    <row r="899" spans="4:5" x14ac:dyDescent="0.25">
      <c r="D899" s="2"/>
      <c r="E899" s="2"/>
    </row>
    <row r="900" spans="4:5" x14ac:dyDescent="0.25">
      <c r="D900" s="2"/>
      <c r="E900" s="2"/>
    </row>
    <row r="901" spans="4:5" x14ac:dyDescent="0.25">
      <c r="D901" s="2"/>
      <c r="E901" s="2"/>
    </row>
    <row r="902" spans="4:5" x14ac:dyDescent="0.25">
      <c r="D902" s="2"/>
      <c r="E902" s="2"/>
    </row>
    <row r="903" spans="4:5" x14ac:dyDescent="0.25">
      <c r="D903" s="2"/>
      <c r="E903" s="2"/>
    </row>
    <row r="904" spans="4:5" x14ac:dyDescent="0.25">
      <c r="D904" s="2"/>
      <c r="E904" s="2"/>
    </row>
    <row r="905" spans="4:5" x14ac:dyDescent="0.25">
      <c r="D905" s="2"/>
      <c r="E905" s="2"/>
    </row>
    <row r="906" spans="4:5" x14ac:dyDescent="0.25">
      <c r="D906" s="2"/>
      <c r="E906" s="2"/>
    </row>
    <row r="907" spans="4:5" x14ac:dyDescent="0.25">
      <c r="D907" s="2"/>
      <c r="E907" s="2"/>
    </row>
    <row r="908" spans="4:5" x14ac:dyDescent="0.25">
      <c r="D908" s="2"/>
      <c r="E908" s="2"/>
    </row>
    <row r="909" spans="4:5" x14ac:dyDescent="0.25">
      <c r="D909" s="2"/>
      <c r="E909" s="2"/>
    </row>
    <row r="910" spans="4:5" x14ac:dyDescent="0.25">
      <c r="D910" s="2"/>
      <c r="E910" s="2"/>
    </row>
    <row r="911" spans="4:5" x14ac:dyDescent="0.25">
      <c r="D911" s="2"/>
      <c r="E911" s="2"/>
    </row>
    <row r="912" spans="4:5" x14ac:dyDescent="0.25">
      <c r="D912" s="2"/>
      <c r="E912" s="2"/>
    </row>
    <row r="913" spans="4:5" x14ac:dyDescent="0.25">
      <c r="D913" s="2"/>
      <c r="E913" s="2"/>
    </row>
    <row r="914" spans="4:5" x14ac:dyDescent="0.25">
      <c r="D914" s="2"/>
      <c r="E914" s="2"/>
    </row>
    <row r="915" spans="4:5" x14ac:dyDescent="0.25">
      <c r="D915" s="2"/>
      <c r="E915" s="2"/>
    </row>
    <row r="916" spans="4:5" x14ac:dyDescent="0.25">
      <c r="D916" s="2"/>
      <c r="E916" s="2"/>
    </row>
    <row r="917" spans="4:5" x14ac:dyDescent="0.25">
      <c r="D917" s="2"/>
      <c r="E917" s="2"/>
    </row>
    <row r="918" spans="4:5" x14ac:dyDescent="0.25">
      <c r="D918" s="2"/>
      <c r="E918" s="2"/>
    </row>
    <row r="919" spans="4:5" x14ac:dyDescent="0.25">
      <c r="D919" s="2"/>
      <c r="E919" s="2"/>
    </row>
    <row r="920" spans="4:5" x14ac:dyDescent="0.25">
      <c r="D920" s="2"/>
      <c r="E920" s="2"/>
    </row>
    <row r="921" spans="4:5" x14ac:dyDescent="0.25">
      <c r="D921" s="2"/>
      <c r="E921" s="2"/>
    </row>
    <row r="922" spans="4:5" x14ac:dyDescent="0.25">
      <c r="D922" s="2"/>
      <c r="E922" s="2"/>
    </row>
    <row r="923" spans="4:5" x14ac:dyDescent="0.25">
      <c r="D923" s="2"/>
      <c r="E923" s="2"/>
    </row>
    <row r="924" spans="4:5" x14ac:dyDescent="0.25">
      <c r="D924" s="2"/>
      <c r="E924" s="2"/>
    </row>
    <row r="925" spans="4:5" x14ac:dyDescent="0.25">
      <c r="D925" s="2"/>
      <c r="E925" s="2"/>
    </row>
    <row r="926" spans="4:5" x14ac:dyDescent="0.25">
      <c r="D926" s="2"/>
      <c r="E926" s="2"/>
    </row>
    <row r="927" spans="4:5" x14ac:dyDescent="0.25">
      <c r="D927" s="2"/>
      <c r="E927" s="2"/>
    </row>
    <row r="928" spans="4:5" x14ac:dyDescent="0.25">
      <c r="D928" s="2"/>
      <c r="E928" s="2"/>
    </row>
    <row r="929" spans="4:5" x14ac:dyDescent="0.25">
      <c r="D929" s="2"/>
      <c r="E929" s="2"/>
    </row>
    <row r="930" spans="4:5" x14ac:dyDescent="0.25">
      <c r="D930" s="2"/>
      <c r="E930" s="2"/>
    </row>
    <row r="931" spans="4:5" x14ac:dyDescent="0.25">
      <c r="D931" s="2"/>
      <c r="E931" s="2"/>
    </row>
    <row r="932" spans="4:5" x14ac:dyDescent="0.25">
      <c r="D932" s="2"/>
      <c r="E932" s="2"/>
    </row>
    <row r="933" spans="4:5" x14ac:dyDescent="0.25">
      <c r="D933" s="2"/>
      <c r="E933" s="2"/>
    </row>
    <row r="934" spans="4:5" x14ac:dyDescent="0.25">
      <c r="D934" s="2"/>
      <c r="E934" s="2"/>
    </row>
    <row r="935" spans="4:5" x14ac:dyDescent="0.25">
      <c r="D935" s="2"/>
      <c r="E935" s="2"/>
    </row>
    <row r="936" spans="4:5" x14ac:dyDescent="0.25">
      <c r="D936" s="2"/>
      <c r="E936" s="2"/>
    </row>
    <row r="937" spans="4:5" x14ac:dyDescent="0.25">
      <c r="D937" s="2"/>
      <c r="E937" s="2"/>
    </row>
    <row r="938" spans="4:5" x14ac:dyDescent="0.25">
      <c r="D938" s="2"/>
      <c r="E938" s="2"/>
    </row>
    <row r="939" spans="4:5" x14ac:dyDescent="0.25">
      <c r="D939" s="2"/>
      <c r="E939" s="2"/>
    </row>
    <row r="940" spans="4:5" x14ac:dyDescent="0.25">
      <c r="D940" s="2"/>
      <c r="E940" s="2"/>
    </row>
    <row r="941" spans="4:5" x14ac:dyDescent="0.25">
      <c r="D941" s="2"/>
      <c r="E941" s="2"/>
    </row>
    <row r="942" spans="4:5" x14ac:dyDescent="0.25">
      <c r="D942" s="2"/>
      <c r="E942" s="2"/>
    </row>
    <row r="943" spans="4:5" x14ac:dyDescent="0.25">
      <c r="D943" s="2"/>
      <c r="E943" s="2"/>
    </row>
    <row r="944" spans="4:5" x14ac:dyDescent="0.25">
      <c r="D944" s="2"/>
      <c r="E944" s="2"/>
    </row>
    <row r="945" spans="4:5" x14ac:dyDescent="0.25">
      <c r="D945" s="2"/>
      <c r="E945" s="2"/>
    </row>
    <row r="946" spans="4:5" x14ac:dyDescent="0.25">
      <c r="D946" s="2"/>
      <c r="E946" s="2"/>
    </row>
    <row r="947" spans="4:5" x14ac:dyDescent="0.25">
      <c r="D947" s="2"/>
      <c r="E947" s="2"/>
    </row>
    <row r="948" spans="4:5" x14ac:dyDescent="0.25">
      <c r="D948" s="2"/>
      <c r="E948" s="2"/>
    </row>
    <row r="949" spans="4:5" x14ac:dyDescent="0.25">
      <c r="D949" s="2"/>
      <c r="E949" s="2"/>
    </row>
    <row r="950" spans="4:5" x14ac:dyDescent="0.25">
      <c r="D950" s="2"/>
      <c r="E950" s="2"/>
    </row>
    <row r="951" spans="4:5" x14ac:dyDescent="0.25">
      <c r="D951" s="2"/>
      <c r="E951" s="2"/>
    </row>
    <row r="952" spans="4:5" x14ac:dyDescent="0.25">
      <c r="D952" s="2"/>
      <c r="E952" s="2"/>
    </row>
    <row r="953" spans="4:5" x14ac:dyDescent="0.25">
      <c r="D953" s="2"/>
      <c r="E953" s="2"/>
    </row>
    <row r="954" spans="4:5" x14ac:dyDescent="0.25">
      <c r="D954" s="2"/>
      <c r="E954" s="2"/>
    </row>
    <row r="955" spans="4:5" x14ac:dyDescent="0.25">
      <c r="D955" s="2"/>
      <c r="E955" s="2"/>
    </row>
    <row r="956" spans="4:5" x14ac:dyDescent="0.25">
      <c r="D956" s="2"/>
      <c r="E956" s="2"/>
    </row>
    <row r="957" spans="4:5" x14ac:dyDescent="0.25">
      <c r="D957" s="2"/>
      <c r="E957" s="2"/>
    </row>
    <row r="958" spans="4:5" x14ac:dyDescent="0.25">
      <c r="D958" s="2"/>
      <c r="E958" s="2"/>
    </row>
    <row r="959" spans="4:5" x14ac:dyDescent="0.25">
      <c r="D959" s="2"/>
      <c r="E959" s="2"/>
    </row>
    <row r="960" spans="4:5" x14ac:dyDescent="0.25">
      <c r="D960" s="2"/>
      <c r="E960" s="2"/>
    </row>
    <row r="961" spans="4:5" x14ac:dyDescent="0.25">
      <c r="D961" s="2"/>
      <c r="E961" s="2"/>
    </row>
    <row r="962" spans="4:5" x14ac:dyDescent="0.25">
      <c r="D962" s="2"/>
      <c r="E962" s="2"/>
    </row>
    <row r="963" spans="4:5" x14ac:dyDescent="0.25">
      <c r="D963" s="2"/>
      <c r="E963" s="2"/>
    </row>
    <row r="964" spans="4:5" x14ac:dyDescent="0.25">
      <c r="D964" s="2"/>
      <c r="E964" s="2"/>
    </row>
    <row r="965" spans="4:5" x14ac:dyDescent="0.25">
      <c r="D965" s="2"/>
      <c r="E965" s="2"/>
    </row>
    <row r="966" spans="4:5" x14ac:dyDescent="0.25">
      <c r="D966" s="2"/>
      <c r="E966" s="2"/>
    </row>
    <row r="967" spans="4:5" x14ac:dyDescent="0.25">
      <c r="D967" s="2"/>
      <c r="E967" s="2"/>
    </row>
    <row r="968" spans="4:5" x14ac:dyDescent="0.25">
      <c r="D968" s="2"/>
      <c r="E968" s="2"/>
    </row>
    <row r="969" spans="4:5" x14ac:dyDescent="0.25">
      <c r="D969" s="2"/>
      <c r="E969" s="2"/>
    </row>
    <row r="970" spans="4:5" x14ac:dyDescent="0.25">
      <c r="D970" s="2"/>
      <c r="E970" s="2"/>
    </row>
    <row r="971" spans="4:5" x14ac:dyDescent="0.25">
      <c r="D971" s="2"/>
      <c r="E971" s="2"/>
    </row>
    <row r="972" spans="4:5" x14ac:dyDescent="0.25">
      <c r="D972" s="2"/>
      <c r="E972" s="2"/>
    </row>
    <row r="973" spans="4:5" x14ac:dyDescent="0.25">
      <c r="D973" s="2"/>
      <c r="E973" s="2"/>
    </row>
    <row r="974" spans="4:5" x14ac:dyDescent="0.25">
      <c r="D974" s="2"/>
      <c r="E974" s="2"/>
    </row>
    <row r="975" spans="4:5" x14ac:dyDescent="0.25">
      <c r="D975" s="2"/>
      <c r="E975" s="2"/>
    </row>
    <row r="976" spans="4:5" x14ac:dyDescent="0.25">
      <c r="D976" s="2"/>
      <c r="E976" s="2"/>
    </row>
    <row r="977" spans="4:5" x14ac:dyDescent="0.25">
      <c r="D977" s="2"/>
      <c r="E977" s="2"/>
    </row>
    <row r="978" spans="4:5" x14ac:dyDescent="0.25">
      <c r="D978" s="2"/>
      <c r="E978" s="2"/>
    </row>
    <row r="979" spans="4:5" x14ac:dyDescent="0.25">
      <c r="D979" s="2"/>
      <c r="E979" s="2"/>
    </row>
    <row r="980" spans="4:5" x14ac:dyDescent="0.25">
      <c r="D980" s="2"/>
      <c r="E980" s="2"/>
    </row>
    <row r="981" spans="4:5" x14ac:dyDescent="0.25">
      <c r="D981" s="2"/>
      <c r="E981" s="2"/>
    </row>
    <row r="982" spans="4:5" x14ac:dyDescent="0.25">
      <c r="D982" s="2"/>
      <c r="E982" s="2"/>
    </row>
    <row r="983" spans="4:5" x14ac:dyDescent="0.25">
      <c r="D983" s="2"/>
      <c r="E983" s="2"/>
    </row>
    <row r="984" spans="4:5" x14ac:dyDescent="0.25">
      <c r="D984" s="2"/>
      <c r="E984" s="2"/>
    </row>
    <row r="985" spans="4:5" x14ac:dyDescent="0.25">
      <c r="D985" s="2"/>
      <c r="E985" s="2"/>
    </row>
    <row r="986" spans="4:5" x14ac:dyDescent="0.25">
      <c r="D986" s="2"/>
      <c r="E986" s="2"/>
    </row>
    <row r="987" spans="4:5" x14ac:dyDescent="0.25">
      <c r="D987" s="2"/>
      <c r="E987" s="2"/>
    </row>
    <row r="988" spans="4:5" x14ac:dyDescent="0.25">
      <c r="D988" s="2"/>
      <c r="E988" s="2"/>
    </row>
    <row r="989" spans="4:5" x14ac:dyDescent="0.25">
      <c r="D989" s="2"/>
      <c r="E989" s="2"/>
    </row>
    <row r="990" spans="4:5" x14ac:dyDescent="0.25">
      <c r="D990" s="2"/>
      <c r="E990" s="2"/>
    </row>
    <row r="991" spans="4:5" x14ac:dyDescent="0.25">
      <c r="D991" s="2"/>
      <c r="E991" s="2"/>
    </row>
    <row r="992" spans="4:5" x14ac:dyDescent="0.25">
      <c r="D992" s="2"/>
      <c r="E992" s="2"/>
    </row>
    <row r="993" spans="4:5" x14ac:dyDescent="0.25">
      <c r="D993" s="2"/>
      <c r="E993" s="2"/>
    </row>
    <row r="994" spans="4:5" x14ac:dyDescent="0.25">
      <c r="D994" s="2"/>
      <c r="E994" s="2"/>
    </row>
    <row r="995" spans="4:5" x14ac:dyDescent="0.25">
      <c r="D995" s="2"/>
      <c r="E995" s="2"/>
    </row>
    <row r="996" spans="4:5" x14ac:dyDescent="0.25">
      <c r="D996" s="2"/>
      <c r="E996" s="2"/>
    </row>
    <row r="997" spans="4:5" x14ac:dyDescent="0.25">
      <c r="D997" s="2"/>
      <c r="E997" s="2"/>
    </row>
    <row r="998" spans="4:5" x14ac:dyDescent="0.25">
      <c r="D998" s="2"/>
      <c r="E998" s="2"/>
    </row>
    <row r="999" spans="4:5" x14ac:dyDescent="0.25">
      <c r="D999" s="2"/>
      <c r="E999" s="2"/>
    </row>
    <row r="1000" spans="4:5" x14ac:dyDescent="0.25">
      <c r="D1000" s="2"/>
      <c r="E1000" s="2"/>
    </row>
    <row r="1001" spans="4:5" x14ac:dyDescent="0.25">
      <c r="D1001" s="2"/>
      <c r="E1001" s="2"/>
    </row>
    <row r="1002" spans="4:5" x14ac:dyDescent="0.25">
      <c r="D1002" s="2"/>
      <c r="E1002" s="2"/>
    </row>
    <row r="1003" spans="4:5" x14ac:dyDescent="0.25">
      <c r="D1003" s="2"/>
      <c r="E1003" s="2"/>
    </row>
    <row r="1004" spans="4:5" x14ac:dyDescent="0.25">
      <c r="D1004" s="2"/>
      <c r="E1004" s="2"/>
    </row>
    <row r="1005" spans="4:5" x14ac:dyDescent="0.25">
      <c r="D1005" s="2"/>
      <c r="E1005" s="2"/>
    </row>
    <row r="1006" spans="4:5" x14ac:dyDescent="0.25">
      <c r="D1006" s="2"/>
      <c r="E1006" s="2"/>
    </row>
    <row r="1007" spans="4:5" x14ac:dyDescent="0.25">
      <c r="D1007" s="2"/>
      <c r="E1007" s="2"/>
    </row>
    <row r="1008" spans="4:5" x14ac:dyDescent="0.25">
      <c r="D1008" s="2"/>
      <c r="E1008" s="2"/>
    </row>
    <row r="1009" spans="4:5" x14ac:dyDescent="0.25">
      <c r="D1009" s="2"/>
      <c r="E1009" s="2"/>
    </row>
    <row r="1010" spans="4:5" x14ac:dyDescent="0.25">
      <c r="D1010" s="2"/>
      <c r="E1010" s="2"/>
    </row>
    <row r="1011" spans="4:5" x14ac:dyDescent="0.25">
      <c r="D1011" s="2"/>
      <c r="E1011" s="2"/>
    </row>
    <row r="1012" spans="4:5" x14ac:dyDescent="0.25">
      <c r="D1012" s="2"/>
      <c r="E1012" s="2"/>
    </row>
    <row r="1013" spans="4:5" x14ac:dyDescent="0.25">
      <c r="D1013" s="2"/>
      <c r="E1013" s="2"/>
    </row>
    <row r="1014" spans="4:5" x14ac:dyDescent="0.25">
      <c r="D1014" s="2"/>
      <c r="E1014" s="2"/>
    </row>
    <row r="1015" spans="4:5" x14ac:dyDescent="0.25">
      <c r="D1015" s="2"/>
      <c r="E1015" s="2"/>
    </row>
    <row r="1016" spans="4:5" x14ac:dyDescent="0.25">
      <c r="D1016" s="2"/>
      <c r="E1016" s="2"/>
    </row>
    <row r="1017" spans="4:5" x14ac:dyDescent="0.25">
      <c r="D1017" s="2"/>
      <c r="E1017" s="2"/>
    </row>
    <row r="1018" spans="4:5" x14ac:dyDescent="0.25">
      <c r="D1018" s="2"/>
      <c r="E1018" s="2"/>
    </row>
    <row r="1019" spans="4:5" x14ac:dyDescent="0.25">
      <c r="D1019" s="2"/>
      <c r="E1019" s="2"/>
    </row>
    <row r="1020" spans="4:5" x14ac:dyDescent="0.25">
      <c r="D1020" s="2"/>
      <c r="E1020" s="2"/>
    </row>
    <row r="1021" spans="4:5" x14ac:dyDescent="0.25">
      <c r="D1021" s="2"/>
      <c r="E1021" s="2"/>
    </row>
    <row r="1022" spans="4:5" x14ac:dyDescent="0.25">
      <c r="D1022" s="2"/>
      <c r="E1022" s="2"/>
    </row>
    <row r="1023" spans="4:5" x14ac:dyDescent="0.25">
      <c r="D1023" s="2"/>
      <c r="E1023" s="2"/>
    </row>
    <row r="1024" spans="4:5" x14ac:dyDescent="0.25">
      <c r="D1024" s="2"/>
      <c r="E1024" s="2"/>
    </row>
    <row r="1025" spans="4:5" x14ac:dyDescent="0.25">
      <c r="D1025" s="2"/>
      <c r="E1025" s="2"/>
    </row>
    <row r="1026" spans="4:5" x14ac:dyDescent="0.25">
      <c r="D1026" s="2"/>
      <c r="E1026" s="2"/>
    </row>
    <row r="1027" spans="4:5" x14ac:dyDescent="0.25">
      <c r="D1027" s="2"/>
      <c r="E1027" s="2"/>
    </row>
    <row r="1028" spans="4:5" x14ac:dyDescent="0.25">
      <c r="D1028" s="2"/>
      <c r="E1028" s="2"/>
    </row>
    <row r="1029" spans="4:5" x14ac:dyDescent="0.25">
      <c r="D1029" s="2"/>
      <c r="E1029" s="2"/>
    </row>
    <row r="1030" spans="4:5" x14ac:dyDescent="0.25">
      <c r="D1030" s="2"/>
      <c r="E1030" s="2"/>
    </row>
    <row r="1031" spans="4:5" x14ac:dyDescent="0.25">
      <c r="D1031" s="2"/>
      <c r="E1031" s="2"/>
    </row>
    <row r="1032" spans="4:5" x14ac:dyDescent="0.25">
      <c r="D1032" s="2"/>
      <c r="E1032" s="2"/>
    </row>
    <row r="1033" spans="4:5" x14ac:dyDescent="0.25">
      <c r="D1033" s="2"/>
      <c r="E1033" s="2"/>
    </row>
    <row r="1034" spans="4:5" x14ac:dyDescent="0.25">
      <c r="D1034" s="2"/>
      <c r="E1034" s="2"/>
    </row>
    <row r="1035" spans="4:5" x14ac:dyDescent="0.25">
      <c r="D1035" s="2"/>
      <c r="E1035" s="2"/>
    </row>
    <row r="1036" spans="4:5" x14ac:dyDescent="0.25">
      <c r="D1036" s="2"/>
      <c r="E1036" s="2"/>
    </row>
    <row r="1037" spans="4:5" x14ac:dyDescent="0.25">
      <c r="D1037" s="2"/>
      <c r="E1037" s="2"/>
    </row>
    <row r="1038" spans="4:5" x14ac:dyDescent="0.25">
      <c r="D1038" s="2"/>
      <c r="E1038" s="2"/>
    </row>
    <row r="1039" spans="4:5" x14ac:dyDescent="0.25">
      <c r="D1039" s="2"/>
      <c r="E1039" s="2"/>
    </row>
    <row r="1040" spans="4:5" x14ac:dyDescent="0.25">
      <c r="D1040" s="2"/>
      <c r="E1040" s="2"/>
    </row>
    <row r="1041" spans="4:5" x14ac:dyDescent="0.25">
      <c r="D1041" s="2"/>
      <c r="E1041" s="2"/>
    </row>
    <row r="1042" spans="4:5" x14ac:dyDescent="0.25">
      <c r="D1042" s="2"/>
      <c r="E1042" s="2"/>
    </row>
    <row r="1043" spans="4:5" x14ac:dyDescent="0.25">
      <c r="D1043" s="2"/>
      <c r="E1043" s="2"/>
    </row>
    <row r="1044" spans="4:5" x14ac:dyDescent="0.25">
      <c r="D1044" s="2"/>
      <c r="E1044" s="2"/>
    </row>
    <row r="1045" spans="4:5" x14ac:dyDescent="0.25">
      <c r="D1045" s="2"/>
      <c r="E1045" s="2"/>
    </row>
    <row r="1046" spans="4:5" x14ac:dyDescent="0.25">
      <c r="D1046" s="2"/>
      <c r="E1046" s="2"/>
    </row>
    <row r="1047" spans="4:5" x14ac:dyDescent="0.25">
      <c r="D1047" s="2"/>
      <c r="E1047" s="2"/>
    </row>
    <row r="1048" spans="4:5" x14ac:dyDescent="0.25">
      <c r="D1048" s="2"/>
      <c r="E1048" s="2"/>
    </row>
    <row r="1049" spans="4:5" x14ac:dyDescent="0.25">
      <c r="D1049" s="2"/>
      <c r="E1049" s="2"/>
    </row>
    <row r="1050" spans="4:5" x14ac:dyDescent="0.25">
      <c r="D1050" s="2"/>
      <c r="E1050" s="2"/>
    </row>
    <row r="1051" spans="4:5" x14ac:dyDescent="0.25">
      <c r="D1051" s="2"/>
      <c r="E1051" s="2"/>
    </row>
    <row r="1052" spans="4:5" x14ac:dyDescent="0.25">
      <c r="D1052" s="2"/>
      <c r="E1052" s="2"/>
    </row>
    <row r="1053" spans="4:5" x14ac:dyDescent="0.25">
      <c r="D1053" s="2"/>
      <c r="E1053" s="2"/>
    </row>
    <row r="1054" spans="4:5" x14ac:dyDescent="0.25">
      <c r="D1054" s="2"/>
      <c r="E1054" s="2"/>
    </row>
    <row r="1055" spans="4:5" x14ac:dyDescent="0.25">
      <c r="D1055" s="2"/>
      <c r="E1055" s="2"/>
    </row>
    <row r="1056" spans="4:5" x14ac:dyDescent="0.25">
      <c r="D1056" s="2"/>
      <c r="E1056" s="2"/>
    </row>
    <row r="1057" spans="4:5" x14ac:dyDescent="0.25">
      <c r="D1057" s="2"/>
      <c r="E1057" s="2"/>
    </row>
    <row r="1058" spans="4:5" x14ac:dyDescent="0.25">
      <c r="D1058" s="2"/>
      <c r="E1058" s="2"/>
    </row>
    <row r="1059" spans="4:5" x14ac:dyDescent="0.25">
      <c r="D1059" s="2"/>
      <c r="E1059" s="2"/>
    </row>
    <row r="1060" spans="4:5" x14ac:dyDescent="0.25">
      <c r="D1060" s="2"/>
      <c r="E1060" s="2"/>
    </row>
    <row r="1061" spans="4:5" x14ac:dyDescent="0.25">
      <c r="D1061" s="2"/>
      <c r="E1061" s="2"/>
    </row>
    <row r="1062" spans="4:5" x14ac:dyDescent="0.25">
      <c r="D1062" s="2"/>
      <c r="E1062" s="2"/>
    </row>
    <row r="1063" spans="4:5" x14ac:dyDescent="0.25">
      <c r="D1063" s="2"/>
      <c r="E1063" s="2"/>
    </row>
    <row r="1064" spans="4:5" x14ac:dyDescent="0.25">
      <c r="D1064" s="2"/>
      <c r="E1064" s="2"/>
    </row>
    <row r="1065" spans="4:5" x14ac:dyDescent="0.25">
      <c r="D1065" s="2"/>
      <c r="E1065" s="2"/>
    </row>
    <row r="1066" spans="4:5" x14ac:dyDescent="0.25">
      <c r="D1066" s="2"/>
      <c r="E1066" s="2"/>
    </row>
    <row r="1067" spans="4:5" x14ac:dyDescent="0.25">
      <c r="D1067" s="2"/>
      <c r="E1067" s="2"/>
    </row>
    <row r="1068" spans="4:5" x14ac:dyDescent="0.25">
      <c r="D1068" s="2"/>
      <c r="E1068" s="2"/>
    </row>
    <row r="1069" spans="4:5" x14ac:dyDescent="0.25">
      <c r="D1069" s="2"/>
      <c r="E1069" s="2"/>
    </row>
    <row r="1070" spans="4:5" x14ac:dyDescent="0.25">
      <c r="D1070" s="2"/>
      <c r="E1070" s="2"/>
    </row>
    <row r="1071" spans="4:5" x14ac:dyDescent="0.25">
      <c r="D1071" s="2"/>
      <c r="E1071" s="2"/>
    </row>
    <row r="1072" spans="4:5" x14ac:dyDescent="0.25">
      <c r="D1072" s="2"/>
      <c r="E1072" s="2"/>
    </row>
    <row r="1073" spans="4:5" x14ac:dyDescent="0.25">
      <c r="D1073" s="2"/>
      <c r="E1073" s="2"/>
    </row>
    <row r="1074" spans="4:5" x14ac:dyDescent="0.25">
      <c r="D1074" s="2"/>
      <c r="E1074" s="2"/>
    </row>
    <row r="1075" spans="4:5" x14ac:dyDescent="0.25">
      <c r="D1075" s="2"/>
      <c r="E1075" s="2"/>
    </row>
    <row r="1076" spans="4:5" x14ac:dyDescent="0.25">
      <c r="D1076" s="2"/>
      <c r="E1076" s="2"/>
    </row>
    <row r="1077" spans="4:5" x14ac:dyDescent="0.25">
      <c r="D1077" s="2"/>
      <c r="E1077" s="2"/>
    </row>
    <row r="1078" spans="4:5" x14ac:dyDescent="0.25">
      <c r="D1078" s="2"/>
      <c r="E1078" s="2"/>
    </row>
    <row r="1079" spans="4:5" x14ac:dyDescent="0.25">
      <c r="D1079" s="2"/>
      <c r="E1079" s="2"/>
    </row>
    <row r="1080" spans="4:5" x14ac:dyDescent="0.25">
      <c r="D1080" s="2"/>
      <c r="E1080" s="2"/>
    </row>
    <row r="1081" spans="4:5" x14ac:dyDescent="0.25">
      <c r="D1081" s="2"/>
      <c r="E1081" s="2"/>
    </row>
    <row r="1082" spans="4:5" x14ac:dyDescent="0.25">
      <c r="D1082" s="2"/>
      <c r="E1082" s="2"/>
    </row>
    <row r="1083" spans="4:5" x14ac:dyDescent="0.25">
      <c r="D1083" s="2"/>
      <c r="E1083" s="2"/>
    </row>
    <row r="1084" spans="4:5" x14ac:dyDescent="0.25">
      <c r="D1084" s="2"/>
      <c r="E1084" s="2"/>
    </row>
    <row r="1085" spans="4:5" x14ac:dyDescent="0.25">
      <c r="D1085" s="2"/>
      <c r="E1085" s="2"/>
    </row>
    <row r="1086" spans="4:5" x14ac:dyDescent="0.25">
      <c r="D1086" s="2"/>
      <c r="E1086" s="2"/>
    </row>
    <row r="1087" spans="4:5" x14ac:dyDescent="0.25">
      <c r="D1087" s="2"/>
      <c r="E1087" s="2"/>
    </row>
    <row r="1088" spans="4:5" x14ac:dyDescent="0.25">
      <c r="D1088" s="2"/>
      <c r="E1088" s="2"/>
    </row>
    <row r="1089" spans="4:5" x14ac:dyDescent="0.25">
      <c r="D1089" s="2"/>
      <c r="E1089" s="2"/>
    </row>
    <row r="1090" spans="4:5" x14ac:dyDescent="0.25">
      <c r="D1090" s="2"/>
      <c r="E1090" s="2"/>
    </row>
    <row r="1091" spans="4:5" x14ac:dyDescent="0.25">
      <c r="D1091" s="2"/>
      <c r="E1091" s="2"/>
    </row>
    <row r="1092" spans="4:5" x14ac:dyDescent="0.25">
      <c r="D1092" s="2"/>
      <c r="E1092" s="2"/>
    </row>
    <row r="1093" spans="4:5" x14ac:dyDescent="0.25">
      <c r="D1093" s="2"/>
      <c r="E1093" s="2"/>
    </row>
    <row r="1094" spans="4:5" x14ac:dyDescent="0.25">
      <c r="D1094" s="2"/>
      <c r="E1094" s="2"/>
    </row>
    <row r="1095" spans="4:5" x14ac:dyDescent="0.25">
      <c r="D1095" s="2"/>
      <c r="E1095" s="2"/>
    </row>
    <row r="1096" spans="4:5" x14ac:dyDescent="0.25">
      <c r="D1096" s="2"/>
      <c r="E1096" s="2"/>
    </row>
    <row r="1097" spans="4:5" x14ac:dyDescent="0.25">
      <c r="D1097" s="2"/>
      <c r="E1097" s="2"/>
    </row>
    <row r="1098" spans="4:5" x14ac:dyDescent="0.25">
      <c r="D1098" s="2"/>
      <c r="E1098" s="2"/>
    </row>
    <row r="1099" spans="4:5" x14ac:dyDescent="0.25">
      <c r="D1099" s="2"/>
      <c r="E1099" s="2"/>
    </row>
    <row r="1100" spans="4:5" x14ac:dyDescent="0.25">
      <c r="D1100" s="2"/>
      <c r="E1100" s="2"/>
    </row>
    <row r="1101" spans="4:5" x14ac:dyDescent="0.25">
      <c r="D1101" s="2"/>
      <c r="E1101" s="2"/>
    </row>
    <row r="1102" spans="4:5" x14ac:dyDescent="0.25">
      <c r="D1102" s="2"/>
      <c r="E1102" s="2"/>
    </row>
    <row r="1103" spans="4:5" x14ac:dyDescent="0.25">
      <c r="D1103" s="2"/>
      <c r="E1103" s="2"/>
    </row>
    <row r="1104" spans="4:5" x14ac:dyDescent="0.25">
      <c r="D1104" s="2"/>
      <c r="E1104" s="2"/>
    </row>
    <row r="1105" spans="4:5" x14ac:dyDescent="0.25">
      <c r="D1105" s="2"/>
      <c r="E1105" s="2"/>
    </row>
    <row r="1106" spans="4:5" x14ac:dyDescent="0.25">
      <c r="D1106" s="2"/>
      <c r="E1106" s="2"/>
    </row>
    <row r="1107" spans="4:5" x14ac:dyDescent="0.25">
      <c r="D1107" s="2"/>
      <c r="E1107" s="2"/>
    </row>
    <row r="1108" spans="4:5" x14ac:dyDescent="0.25">
      <c r="D1108" s="2"/>
      <c r="E1108" s="2"/>
    </row>
    <row r="1109" spans="4:5" x14ac:dyDescent="0.25">
      <c r="D1109" s="2"/>
      <c r="E1109" s="2"/>
    </row>
    <row r="1110" spans="4:5" x14ac:dyDescent="0.25">
      <c r="D1110" s="2"/>
      <c r="E1110" s="2"/>
    </row>
    <row r="1111" spans="4:5" x14ac:dyDescent="0.25">
      <c r="D1111" s="2"/>
      <c r="E1111" s="2"/>
    </row>
    <row r="1112" spans="4:5" x14ac:dyDescent="0.25">
      <c r="D1112" s="2"/>
      <c r="E1112" s="2"/>
    </row>
    <row r="1113" spans="4:5" x14ac:dyDescent="0.25">
      <c r="D1113" s="2"/>
      <c r="E1113" s="2"/>
    </row>
    <row r="1114" spans="4:5" x14ac:dyDescent="0.25">
      <c r="D1114" s="2"/>
      <c r="E1114" s="2"/>
    </row>
    <row r="1115" spans="4:5" x14ac:dyDescent="0.25">
      <c r="D1115" s="2"/>
      <c r="E1115" s="2"/>
    </row>
    <row r="1116" spans="4:5" x14ac:dyDescent="0.25">
      <c r="D1116" s="2"/>
      <c r="E1116" s="2"/>
    </row>
    <row r="1117" spans="4:5" x14ac:dyDescent="0.25">
      <c r="D1117" s="2"/>
      <c r="E1117" s="2"/>
    </row>
    <row r="1118" spans="4:5" x14ac:dyDescent="0.25">
      <c r="D1118" s="2"/>
      <c r="E1118" s="2"/>
    </row>
    <row r="1119" spans="4:5" x14ac:dyDescent="0.25">
      <c r="D1119" s="2"/>
      <c r="E1119" s="2"/>
    </row>
    <row r="1120" spans="4:5" x14ac:dyDescent="0.25">
      <c r="D1120" s="2"/>
      <c r="E1120" s="2"/>
    </row>
    <row r="1121" spans="4:5" x14ac:dyDescent="0.25">
      <c r="D1121" s="2"/>
      <c r="E1121" s="2"/>
    </row>
    <row r="1122" spans="4:5" x14ac:dyDescent="0.25">
      <c r="D1122" s="2"/>
      <c r="E1122" s="2"/>
    </row>
    <row r="1123" spans="4:5" x14ac:dyDescent="0.25">
      <c r="D1123" s="2"/>
      <c r="E1123" s="2"/>
    </row>
    <row r="1124" spans="4:5" x14ac:dyDescent="0.25">
      <c r="D1124" s="2"/>
      <c r="E1124" s="2"/>
    </row>
    <row r="1125" spans="4:5" x14ac:dyDescent="0.25">
      <c r="D1125" s="2"/>
      <c r="E1125" s="2"/>
    </row>
    <row r="1126" spans="4:5" x14ac:dyDescent="0.25">
      <c r="D1126" s="2"/>
      <c r="E1126" s="2"/>
    </row>
    <row r="1127" spans="4:5" x14ac:dyDescent="0.25">
      <c r="D1127" s="2"/>
      <c r="E1127" s="2"/>
    </row>
    <row r="1128" spans="4:5" x14ac:dyDescent="0.25">
      <c r="D1128" s="2"/>
      <c r="E1128" s="2"/>
    </row>
    <row r="1129" spans="4:5" x14ac:dyDescent="0.25">
      <c r="D1129" s="2"/>
      <c r="E1129" s="2"/>
    </row>
    <row r="1130" spans="4:5" x14ac:dyDescent="0.25">
      <c r="D1130" s="2"/>
      <c r="E1130" s="2"/>
    </row>
    <row r="1131" spans="4:5" x14ac:dyDescent="0.25">
      <c r="D1131" s="2"/>
      <c r="E1131" s="2"/>
    </row>
    <row r="1132" spans="4:5" x14ac:dyDescent="0.25">
      <c r="D1132" s="2"/>
      <c r="E1132" s="2"/>
    </row>
    <row r="1133" spans="4:5" x14ac:dyDescent="0.25">
      <c r="D1133" s="2"/>
      <c r="E1133" s="2"/>
    </row>
    <row r="1134" spans="4:5" x14ac:dyDescent="0.25">
      <c r="D1134" s="2"/>
      <c r="E1134" s="2"/>
    </row>
    <row r="1135" spans="4:5" x14ac:dyDescent="0.25">
      <c r="D1135" s="2"/>
      <c r="E1135" s="2"/>
    </row>
    <row r="1136" spans="4:5" x14ac:dyDescent="0.25">
      <c r="D1136" s="2"/>
      <c r="E1136" s="2"/>
    </row>
    <row r="1137" spans="4:5" x14ac:dyDescent="0.25">
      <c r="D1137" s="2"/>
      <c r="E1137" s="2"/>
    </row>
    <row r="1138" spans="4:5" x14ac:dyDescent="0.25">
      <c r="D1138" s="2"/>
      <c r="E1138" s="2"/>
    </row>
    <row r="1139" spans="4:5" x14ac:dyDescent="0.25">
      <c r="D1139" s="2"/>
      <c r="E1139" s="2"/>
    </row>
    <row r="1140" spans="4:5" x14ac:dyDescent="0.25">
      <c r="D1140" s="2"/>
      <c r="E1140" s="2"/>
    </row>
    <row r="1141" spans="4:5" x14ac:dyDescent="0.25">
      <c r="D1141" s="2"/>
      <c r="E1141" s="2"/>
    </row>
    <row r="1142" spans="4:5" x14ac:dyDescent="0.25">
      <c r="D1142" s="2"/>
      <c r="E1142" s="2"/>
    </row>
    <row r="1143" spans="4:5" x14ac:dyDescent="0.25">
      <c r="D1143" s="2"/>
      <c r="E1143" s="2"/>
    </row>
    <row r="1144" spans="4:5" x14ac:dyDescent="0.25">
      <c r="D1144" s="2"/>
      <c r="E1144" s="2"/>
    </row>
    <row r="1145" spans="4:5" x14ac:dyDescent="0.25">
      <c r="D1145" s="2"/>
      <c r="E1145" s="2"/>
    </row>
    <row r="1146" spans="4:5" x14ac:dyDescent="0.25">
      <c r="D1146" s="2"/>
      <c r="E1146" s="2"/>
    </row>
    <row r="1147" spans="4:5" x14ac:dyDescent="0.25">
      <c r="D1147" s="2"/>
      <c r="E1147" s="2"/>
    </row>
    <row r="1148" spans="4:5" x14ac:dyDescent="0.25">
      <c r="D1148" s="2"/>
      <c r="E1148" s="2"/>
    </row>
    <row r="1149" spans="4:5" x14ac:dyDescent="0.25">
      <c r="D1149" s="2"/>
      <c r="E1149" s="2"/>
    </row>
    <row r="1150" spans="4:5" x14ac:dyDescent="0.25">
      <c r="D1150" s="2"/>
      <c r="E1150" s="2"/>
    </row>
    <row r="1151" spans="4:5" x14ac:dyDescent="0.25">
      <c r="D1151" s="2"/>
      <c r="E1151" s="2"/>
    </row>
    <row r="1152" spans="4:5" x14ac:dyDescent="0.25">
      <c r="D1152" s="2"/>
      <c r="E1152" s="2"/>
    </row>
    <row r="1153" spans="4:5" x14ac:dyDescent="0.25">
      <c r="D1153" s="2"/>
      <c r="E1153" s="2"/>
    </row>
    <row r="1154" spans="4:5" x14ac:dyDescent="0.25">
      <c r="D1154" s="2"/>
      <c r="E1154" s="2"/>
    </row>
    <row r="1155" spans="4:5" x14ac:dyDescent="0.25">
      <c r="D1155" s="2"/>
      <c r="E1155" s="2"/>
    </row>
    <row r="1156" spans="4:5" x14ac:dyDescent="0.25">
      <c r="D1156" s="2"/>
      <c r="E1156" s="2"/>
    </row>
    <row r="1157" spans="4:5" x14ac:dyDescent="0.25">
      <c r="D1157" s="2"/>
      <c r="E1157" s="2"/>
    </row>
    <row r="1158" spans="4:5" x14ac:dyDescent="0.25">
      <c r="D1158" s="2"/>
      <c r="E1158" s="2"/>
    </row>
    <row r="1159" spans="4:5" x14ac:dyDescent="0.25">
      <c r="D1159" s="2"/>
      <c r="E1159" s="2"/>
    </row>
    <row r="1160" spans="4:5" x14ac:dyDescent="0.25">
      <c r="D1160" s="2"/>
      <c r="E1160" s="2"/>
    </row>
    <row r="1161" spans="4:5" x14ac:dyDescent="0.25">
      <c r="D1161" s="2"/>
      <c r="E1161" s="2"/>
    </row>
    <row r="1162" spans="4:5" x14ac:dyDescent="0.25">
      <c r="D1162" s="2"/>
      <c r="E1162" s="2"/>
    </row>
    <row r="1163" spans="4:5" x14ac:dyDescent="0.25">
      <c r="D1163" s="2"/>
      <c r="E1163" s="2"/>
    </row>
    <row r="1164" spans="4:5" x14ac:dyDescent="0.25">
      <c r="D1164" s="2"/>
      <c r="E1164" s="2"/>
    </row>
    <row r="1165" spans="4:5" x14ac:dyDescent="0.25">
      <c r="D1165" s="2"/>
      <c r="E1165" s="2"/>
    </row>
    <row r="1166" spans="4:5" x14ac:dyDescent="0.25">
      <c r="D1166" s="2"/>
      <c r="E1166" s="2"/>
    </row>
    <row r="1167" spans="4:5" x14ac:dyDescent="0.25">
      <c r="D1167" s="2"/>
      <c r="E1167" s="2"/>
    </row>
    <row r="1168" spans="4:5" x14ac:dyDescent="0.25">
      <c r="D1168" s="2"/>
      <c r="E1168" s="2"/>
    </row>
    <row r="1169" spans="4:5" x14ac:dyDescent="0.25">
      <c r="D1169" s="2"/>
      <c r="E1169" s="2"/>
    </row>
    <row r="1170" spans="4:5" x14ac:dyDescent="0.25">
      <c r="D1170" s="2"/>
      <c r="E1170" s="2"/>
    </row>
    <row r="1171" spans="4:5" x14ac:dyDescent="0.25">
      <c r="D1171" s="2"/>
      <c r="E1171" s="2"/>
    </row>
    <row r="1172" spans="4:5" x14ac:dyDescent="0.25">
      <c r="D1172" s="2"/>
      <c r="E1172" s="2"/>
    </row>
    <row r="1173" spans="4:5" x14ac:dyDescent="0.25">
      <c r="D1173" s="2"/>
      <c r="E1173" s="2"/>
    </row>
    <row r="1174" spans="4:5" x14ac:dyDescent="0.25">
      <c r="D1174" s="2"/>
      <c r="E1174" s="2"/>
    </row>
    <row r="1175" spans="4:5" x14ac:dyDescent="0.25">
      <c r="D1175" s="2"/>
      <c r="E1175" s="2"/>
    </row>
    <row r="1176" spans="4:5" x14ac:dyDescent="0.25">
      <c r="D1176" s="2"/>
      <c r="E1176" s="2"/>
    </row>
    <row r="1177" spans="4:5" x14ac:dyDescent="0.25">
      <c r="D1177" s="2"/>
      <c r="E1177" s="2"/>
    </row>
    <row r="1178" spans="4:5" x14ac:dyDescent="0.25">
      <c r="D1178" s="2"/>
      <c r="E1178" s="2"/>
    </row>
    <row r="1179" spans="4:5" x14ac:dyDescent="0.25">
      <c r="D1179" s="2"/>
      <c r="E1179" s="2"/>
    </row>
    <row r="1180" spans="4:5" x14ac:dyDescent="0.25">
      <c r="D1180" s="2"/>
      <c r="E1180" s="2"/>
    </row>
    <row r="1181" spans="4:5" x14ac:dyDescent="0.25">
      <c r="D1181" s="2"/>
      <c r="E1181" s="2"/>
    </row>
    <row r="1182" spans="4:5" x14ac:dyDescent="0.25">
      <c r="D1182" s="2"/>
      <c r="E1182" s="2"/>
    </row>
    <row r="1183" spans="4:5" x14ac:dyDescent="0.25">
      <c r="D1183" s="2"/>
      <c r="E1183" s="2"/>
    </row>
    <row r="1184" spans="4:5" x14ac:dyDescent="0.25">
      <c r="D1184" s="2"/>
      <c r="E1184" s="2"/>
    </row>
    <row r="1185" spans="4:5" x14ac:dyDescent="0.25">
      <c r="D1185" s="2"/>
      <c r="E1185" s="2"/>
    </row>
    <row r="1186" spans="4:5" x14ac:dyDescent="0.25">
      <c r="D1186" s="2"/>
      <c r="E1186" s="2"/>
    </row>
    <row r="1187" spans="4:5" x14ac:dyDescent="0.25">
      <c r="D1187" s="2"/>
      <c r="E1187" s="2"/>
    </row>
    <row r="1188" spans="4:5" x14ac:dyDescent="0.25">
      <c r="D1188" s="2"/>
      <c r="E1188" s="2"/>
    </row>
    <row r="1189" spans="4:5" x14ac:dyDescent="0.25">
      <c r="D1189" s="2"/>
      <c r="E1189" s="2"/>
    </row>
    <row r="1190" spans="4:5" x14ac:dyDescent="0.25">
      <c r="D1190" s="2"/>
      <c r="E1190" s="2"/>
    </row>
    <row r="1191" spans="4:5" x14ac:dyDescent="0.25">
      <c r="D1191" s="2"/>
      <c r="E1191" s="2"/>
    </row>
    <row r="1192" spans="4:5" x14ac:dyDescent="0.25">
      <c r="D1192" s="2"/>
      <c r="E1192" s="2"/>
    </row>
    <row r="1193" spans="4:5" x14ac:dyDescent="0.25">
      <c r="D1193" s="2"/>
      <c r="E1193" s="2"/>
    </row>
    <row r="1194" spans="4:5" x14ac:dyDescent="0.25">
      <c r="D1194" s="2"/>
      <c r="E1194" s="2"/>
    </row>
    <row r="1195" spans="4:5" x14ac:dyDescent="0.25">
      <c r="D1195" s="2"/>
      <c r="E1195" s="2"/>
    </row>
    <row r="1196" spans="4:5" x14ac:dyDescent="0.25">
      <c r="D1196" s="2"/>
      <c r="E1196" s="2"/>
    </row>
    <row r="1197" spans="4:5" x14ac:dyDescent="0.25">
      <c r="D1197" s="2"/>
      <c r="E1197" s="2"/>
    </row>
    <row r="1198" spans="4:5" x14ac:dyDescent="0.25">
      <c r="D1198" s="2"/>
      <c r="E1198" s="2"/>
    </row>
    <row r="1199" spans="4:5" x14ac:dyDescent="0.25">
      <c r="D1199" s="2"/>
      <c r="E1199" s="2"/>
    </row>
    <row r="1200" spans="4:5" x14ac:dyDescent="0.25">
      <c r="D1200" s="2"/>
      <c r="E1200" s="2"/>
    </row>
    <row r="1201" spans="4:5" x14ac:dyDescent="0.25">
      <c r="D1201" s="2"/>
      <c r="E1201" s="2"/>
    </row>
    <row r="1202" spans="4:5" x14ac:dyDescent="0.25">
      <c r="D1202" s="2"/>
      <c r="E1202" s="2"/>
    </row>
    <row r="1203" spans="4:5" x14ac:dyDescent="0.25">
      <c r="D1203" s="2"/>
      <c r="E1203" s="2"/>
    </row>
    <row r="1204" spans="4:5" x14ac:dyDescent="0.25">
      <c r="D1204" s="2"/>
      <c r="E1204" s="2"/>
    </row>
    <row r="1205" spans="4:5" x14ac:dyDescent="0.25">
      <c r="D1205" s="2"/>
      <c r="E1205" s="2"/>
    </row>
    <row r="1206" spans="4:5" x14ac:dyDescent="0.25">
      <c r="D1206" s="2"/>
      <c r="E1206" s="2"/>
    </row>
    <row r="1207" spans="4:5" x14ac:dyDescent="0.25">
      <c r="D1207" s="2"/>
      <c r="E1207" s="2"/>
    </row>
    <row r="1208" spans="4:5" x14ac:dyDescent="0.25">
      <c r="D1208" s="2"/>
      <c r="E1208" s="2"/>
    </row>
    <row r="1209" spans="4:5" x14ac:dyDescent="0.25">
      <c r="D1209" s="2"/>
      <c r="E1209" s="2"/>
    </row>
    <row r="1210" spans="4:5" x14ac:dyDescent="0.25">
      <c r="D1210" s="2"/>
      <c r="E1210" s="2"/>
    </row>
    <row r="1211" spans="4:5" x14ac:dyDescent="0.25">
      <c r="D1211" s="2"/>
      <c r="E1211" s="2"/>
    </row>
    <row r="1212" spans="4:5" x14ac:dyDescent="0.25">
      <c r="D1212" s="2"/>
      <c r="E1212" s="2"/>
    </row>
    <row r="1213" spans="4:5" x14ac:dyDescent="0.25">
      <c r="D1213" s="2"/>
      <c r="E1213" s="2"/>
    </row>
    <row r="1214" spans="4:5" x14ac:dyDescent="0.25">
      <c r="D1214" s="2"/>
      <c r="E1214" s="2"/>
    </row>
    <row r="1215" spans="4:5" x14ac:dyDescent="0.25">
      <c r="D1215" s="2"/>
      <c r="E1215" s="2"/>
    </row>
    <row r="1216" spans="4:5" x14ac:dyDescent="0.25">
      <c r="D1216" s="2"/>
      <c r="E1216" s="2"/>
    </row>
    <row r="1217" spans="4:5" x14ac:dyDescent="0.25">
      <c r="D1217" s="2"/>
      <c r="E1217" s="2"/>
    </row>
    <row r="1218" spans="4:5" x14ac:dyDescent="0.25">
      <c r="D1218" s="2"/>
      <c r="E1218" s="2"/>
    </row>
    <row r="1219" spans="4:5" x14ac:dyDescent="0.25">
      <c r="D1219" s="2"/>
      <c r="E1219" s="2"/>
    </row>
    <row r="1220" spans="4:5" x14ac:dyDescent="0.25">
      <c r="D1220" s="2"/>
      <c r="E1220" s="2"/>
    </row>
    <row r="1221" spans="4:5" x14ac:dyDescent="0.25">
      <c r="D1221" s="2"/>
      <c r="E1221" s="2"/>
    </row>
    <row r="1222" spans="4:5" x14ac:dyDescent="0.25">
      <c r="D1222" s="2"/>
      <c r="E1222" s="2"/>
    </row>
    <row r="1223" spans="4:5" x14ac:dyDescent="0.25">
      <c r="D1223" s="2"/>
      <c r="E1223" s="2"/>
    </row>
    <row r="1224" spans="4:5" x14ac:dyDescent="0.25">
      <c r="D1224" s="2"/>
      <c r="E1224" s="2"/>
    </row>
    <row r="1225" spans="4:5" x14ac:dyDescent="0.25">
      <c r="D1225" s="2"/>
      <c r="E1225" s="2"/>
    </row>
    <row r="1226" spans="4:5" x14ac:dyDescent="0.25">
      <c r="D1226" s="2"/>
      <c r="E1226" s="2"/>
    </row>
    <row r="1227" spans="4:5" x14ac:dyDescent="0.25">
      <c r="D1227" s="2"/>
      <c r="E1227" s="2"/>
    </row>
    <row r="1228" spans="4:5" x14ac:dyDescent="0.25">
      <c r="D1228" s="2"/>
      <c r="E1228" s="2"/>
    </row>
    <row r="1229" spans="4:5" x14ac:dyDescent="0.25">
      <c r="D1229" s="2"/>
      <c r="E1229" s="2"/>
    </row>
    <row r="1230" spans="4:5" x14ac:dyDescent="0.25">
      <c r="D1230" s="2"/>
      <c r="E1230" s="2"/>
    </row>
    <row r="1231" spans="4:5" x14ac:dyDescent="0.25">
      <c r="D1231" s="2"/>
      <c r="E1231" s="2"/>
    </row>
    <row r="1232" spans="4:5" x14ac:dyDescent="0.25">
      <c r="D1232" s="2"/>
      <c r="E1232" s="2"/>
    </row>
    <row r="1233" spans="4:5" x14ac:dyDescent="0.25">
      <c r="D1233" s="2"/>
      <c r="E1233" s="2"/>
    </row>
    <row r="1234" spans="4:5" x14ac:dyDescent="0.25">
      <c r="D1234" s="2"/>
      <c r="E1234" s="2"/>
    </row>
    <row r="1235" spans="4:5" x14ac:dyDescent="0.25">
      <c r="D1235" s="2"/>
      <c r="E1235" s="2"/>
    </row>
    <row r="1236" spans="4:5" x14ac:dyDescent="0.25">
      <c r="D1236" s="2"/>
      <c r="E1236" s="2"/>
    </row>
    <row r="1237" spans="4:5" x14ac:dyDescent="0.25">
      <c r="D1237" s="2"/>
      <c r="E1237" s="2"/>
    </row>
    <row r="1238" spans="4:5" x14ac:dyDescent="0.25">
      <c r="D1238" s="2"/>
      <c r="E1238" s="2"/>
    </row>
    <row r="1239" spans="4:5" x14ac:dyDescent="0.25">
      <c r="D1239" s="2"/>
      <c r="E1239" s="2"/>
    </row>
    <row r="1240" spans="4:5" x14ac:dyDescent="0.25">
      <c r="D1240" s="2"/>
      <c r="E1240" s="2"/>
    </row>
    <row r="1241" spans="4:5" x14ac:dyDescent="0.25">
      <c r="D1241" s="2"/>
      <c r="E1241" s="2"/>
    </row>
    <row r="1242" spans="4:5" x14ac:dyDescent="0.25">
      <c r="D1242" s="2"/>
      <c r="E1242" s="2"/>
    </row>
    <row r="1243" spans="4:5" x14ac:dyDescent="0.25">
      <c r="D1243" s="2"/>
      <c r="E1243" s="2"/>
    </row>
    <row r="1244" spans="4:5" x14ac:dyDescent="0.25">
      <c r="D1244" s="2"/>
      <c r="E1244" s="2"/>
    </row>
    <row r="1245" spans="4:5" x14ac:dyDescent="0.25">
      <c r="D1245" s="2"/>
      <c r="E1245" s="2"/>
    </row>
    <row r="1246" spans="4:5" x14ac:dyDescent="0.25">
      <c r="D1246" s="2"/>
      <c r="E1246" s="2"/>
    </row>
    <row r="1247" spans="4:5" x14ac:dyDescent="0.25">
      <c r="D1247" s="2"/>
      <c r="E1247" s="2"/>
    </row>
    <row r="1248" spans="4:5" x14ac:dyDescent="0.25">
      <c r="D1248" s="2"/>
      <c r="E1248" s="2"/>
    </row>
    <row r="1249" spans="4:5" x14ac:dyDescent="0.25">
      <c r="D1249" s="2"/>
      <c r="E1249" s="2"/>
    </row>
    <row r="1250" spans="4:5" x14ac:dyDescent="0.25">
      <c r="D1250" s="2"/>
      <c r="E1250" s="2"/>
    </row>
    <row r="1251" spans="4:5" x14ac:dyDescent="0.25">
      <c r="D1251" s="2"/>
      <c r="E1251" s="2"/>
    </row>
    <row r="1252" spans="4:5" x14ac:dyDescent="0.25">
      <c r="D1252" s="2"/>
      <c r="E1252" s="2"/>
    </row>
    <row r="1253" spans="4:5" x14ac:dyDescent="0.25">
      <c r="D1253" s="2"/>
      <c r="E1253" s="2"/>
    </row>
    <row r="1254" spans="4:5" x14ac:dyDescent="0.25">
      <c r="D1254" s="2"/>
      <c r="E1254" s="2"/>
    </row>
    <row r="1255" spans="4:5" x14ac:dyDescent="0.25">
      <c r="D1255" s="2"/>
      <c r="E1255" s="2"/>
    </row>
    <row r="1256" spans="4:5" x14ac:dyDescent="0.25">
      <c r="D1256" s="2"/>
      <c r="E1256" s="2"/>
    </row>
    <row r="1257" spans="4:5" x14ac:dyDescent="0.25">
      <c r="D1257" s="2"/>
      <c r="E1257" s="2"/>
    </row>
    <row r="1258" spans="4:5" x14ac:dyDescent="0.25">
      <c r="D1258" s="2"/>
      <c r="E1258" s="2"/>
    </row>
    <row r="1259" spans="4:5" x14ac:dyDescent="0.25">
      <c r="D1259" s="2"/>
      <c r="E1259" s="2"/>
    </row>
    <row r="1260" spans="4:5" x14ac:dyDescent="0.25">
      <c r="D1260" s="2"/>
      <c r="E1260" s="2"/>
    </row>
    <row r="1261" spans="4:5" x14ac:dyDescent="0.25">
      <c r="D1261" s="2"/>
      <c r="E1261" s="2"/>
    </row>
    <row r="1262" spans="4:5" x14ac:dyDescent="0.25">
      <c r="D1262" s="2"/>
      <c r="E1262" s="2"/>
    </row>
    <row r="1263" spans="4:5" x14ac:dyDescent="0.25">
      <c r="D1263" s="2"/>
      <c r="E1263" s="2"/>
    </row>
    <row r="1264" spans="4:5" x14ac:dyDescent="0.25">
      <c r="D1264" s="2"/>
      <c r="E1264" s="2"/>
    </row>
    <row r="1265" spans="4:5" x14ac:dyDescent="0.25">
      <c r="D1265" s="2"/>
      <c r="E1265" s="2"/>
    </row>
    <row r="1266" spans="4:5" x14ac:dyDescent="0.25">
      <c r="D1266" s="2"/>
      <c r="E1266" s="2"/>
    </row>
    <row r="1267" spans="4:5" x14ac:dyDescent="0.25">
      <c r="D1267" s="2"/>
      <c r="E1267" s="2"/>
    </row>
    <row r="1268" spans="4:5" x14ac:dyDescent="0.25">
      <c r="D1268" s="2"/>
      <c r="E1268" s="2"/>
    </row>
    <row r="1269" spans="4:5" x14ac:dyDescent="0.25">
      <c r="D1269" s="2"/>
      <c r="E1269" s="2"/>
    </row>
    <row r="1270" spans="4:5" x14ac:dyDescent="0.25">
      <c r="D1270" s="2"/>
      <c r="E1270" s="2"/>
    </row>
    <row r="1271" spans="4:5" x14ac:dyDescent="0.25">
      <c r="D1271" s="2"/>
      <c r="E1271" s="2"/>
    </row>
    <row r="1272" spans="4:5" x14ac:dyDescent="0.25">
      <c r="D1272" s="2"/>
      <c r="E1272" s="2"/>
    </row>
    <row r="1273" spans="4:5" x14ac:dyDescent="0.25">
      <c r="D1273" s="2"/>
      <c r="E1273" s="2"/>
    </row>
    <row r="1274" spans="4:5" x14ac:dyDescent="0.25">
      <c r="D1274" s="2"/>
      <c r="E1274" s="2"/>
    </row>
    <row r="1275" spans="4:5" x14ac:dyDescent="0.25">
      <c r="D1275" s="2"/>
      <c r="E1275" s="2"/>
    </row>
    <row r="1276" spans="4:5" x14ac:dyDescent="0.25">
      <c r="D1276" s="2"/>
      <c r="E1276" s="2"/>
    </row>
    <row r="1277" spans="4:5" x14ac:dyDescent="0.25">
      <c r="D1277" s="2"/>
      <c r="E1277" s="2"/>
    </row>
    <row r="1278" spans="4:5" x14ac:dyDescent="0.25">
      <c r="D1278" s="2"/>
      <c r="E1278" s="2"/>
    </row>
    <row r="1279" spans="4:5" x14ac:dyDescent="0.25">
      <c r="D1279" s="2"/>
      <c r="E1279" s="2"/>
    </row>
    <row r="1280" spans="4:5" x14ac:dyDescent="0.25">
      <c r="D1280" s="2"/>
      <c r="E1280" s="2"/>
    </row>
    <row r="1281" spans="4:5" x14ac:dyDescent="0.25">
      <c r="D1281" s="2"/>
      <c r="E1281" s="2"/>
    </row>
    <row r="1282" spans="4:5" x14ac:dyDescent="0.25">
      <c r="D1282" s="2"/>
      <c r="E1282" s="2"/>
    </row>
    <row r="1283" spans="4:5" x14ac:dyDescent="0.25">
      <c r="D1283" s="2"/>
      <c r="E1283" s="2"/>
    </row>
    <row r="1284" spans="4:5" x14ac:dyDescent="0.25">
      <c r="D1284" s="2"/>
      <c r="E1284" s="2"/>
    </row>
    <row r="1285" spans="4:5" x14ac:dyDescent="0.25">
      <c r="D1285" s="2"/>
      <c r="E1285" s="2"/>
    </row>
    <row r="1286" spans="4:5" x14ac:dyDescent="0.25">
      <c r="D1286" s="2"/>
      <c r="E1286" s="2"/>
    </row>
    <row r="1287" spans="4:5" x14ac:dyDescent="0.25">
      <c r="D1287" s="2"/>
      <c r="E1287" s="2"/>
    </row>
    <row r="1288" spans="4:5" x14ac:dyDescent="0.25">
      <c r="D1288" s="2"/>
      <c r="E1288" s="2"/>
    </row>
    <row r="1289" spans="4:5" x14ac:dyDescent="0.25">
      <c r="D1289" s="2"/>
      <c r="E1289" s="2"/>
    </row>
    <row r="1290" spans="4:5" x14ac:dyDescent="0.25">
      <c r="D1290" s="2"/>
      <c r="E1290" s="2"/>
    </row>
    <row r="1291" spans="4:5" x14ac:dyDescent="0.25">
      <c r="D1291" s="2"/>
      <c r="E1291" s="2"/>
    </row>
    <row r="1292" spans="4:5" x14ac:dyDescent="0.25">
      <c r="D1292" s="2"/>
      <c r="E1292" s="2"/>
    </row>
    <row r="1293" spans="4:5" x14ac:dyDescent="0.25">
      <c r="D1293" s="2"/>
      <c r="E1293" s="2"/>
    </row>
    <row r="1294" spans="4:5" x14ac:dyDescent="0.25">
      <c r="D1294" s="2"/>
      <c r="E1294" s="2"/>
    </row>
    <row r="1295" spans="4:5" x14ac:dyDescent="0.25">
      <c r="D1295" s="2"/>
      <c r="E1295" s="2"/>
    </row>
    <row r="1296" spans="4:5" x14ac:dyDescent="0.25">
      <c r="D1296" s="2"/>
      <c r="E1296" s="2"/>
    </row>
    <row r="1297" spans="4:5" x14ac:dyDescent="0.25">
      <c r="D1297" s="2"/>
      <c r="E1297" s="2"/>
    </row>
    <row r="1298" spans="4:5" x14ac:dyDescent="0.25">
      <c r="D1298" s="2"/>
      <c r="E1298" s="2"/>
    </row>
    <row r="1299" spans="4:5" x14ac:dyDescent="0.25">
      <c r="D1299" s="2"/>
      <c r="E1299" s="2"/>
    </row>
    <row r="1300" spans="4:5" x14ac:dyDescent="0.25">
      <c r="D1300" s="2"/>
      <c r="E1300" s="2"/>
    </row>
    <row r="1301" spans="4:5" x14ac:dyDescent="0.25">
      <c r="D1301" s="2"/>
      <c r="E1301" s="2"/>
    </row>
    <row r="1302" spans="4:5" x14ac:dyDescent="0.25">
      <c r="D1302" s="2"/>
      <c r="E1302" s="2"/>
    </row>
    <row r="1303" spans="4:5" x14ac:dyDescent="0.25">
      <c r="D1303" s="2"/>
      <c r="E1303" s="2"/>
    </row>
    <row r="1304" spans="4:5" x14ac:dyDescent="0.25">
      <c r="D1304" s="2"/>
      <c r="E1304" s="2"/>
    </row>
    <row r="1305" spans="4:5" x14ac:dyDescent="0.25">
      <c r="D1305" s="2"/>
      <c r="E1305" s="2"/>
    </row>
    <row r="1306" spans="4:5" x14ac:dyDescent="0.25">
      <c r="D1306" s="2"/>
      <c r="E1306" s="2"/>
    </row>
    <row r="1307" spans="4:5" x14ac:dyDescent="0.25">
      <c r="D1307" s="2"/>
      <c r="E1307" s="2"/>
    </row>
    <row r="1308" spans="4:5" x14ac:dyDescent="0.25">
      <c r="D1308" s="2"/>
      <c r="E1308" s="2"/>
    </row>
    <row r="1309" spans="4:5" x14ac:dyDescent="0.25">
      <c r="D1309" s="2"/>
      <c r="E1309" s="2"/>
    </row>
    <row r="1310" spans="4:5" x14ac:dyDescent="0.25">
      <c r="D1310" s="2"/>
      <c r="E1310" s="2"/>
    </row>
    <row r="1311" spans="4:5" x14ac:dyDescent="0.25">
      <c r="D1311" s="2"/>
      <c r="E1311" s="2"/>
    </row>
    <row r="1312" spans="4:5" x14ac:dyDescent="0.25">
      <c r="D1312" s="2"/>
      <c r="E1312" s="2"/>
    </row>
    <row r="1313" spans="4:5" x14ac:dyDescent="0.25">
      <c r="D1313" s="2"/>
      <c r="E1313" s="2"/>
    </row>
    <row r="1314" spans="4:5" x14ac:dyDescent="0.25">
      <c r="D1314" s="2"/>
      <c r="E1314" s="2"/>
    </row>
    <row r="1315" spans="4:5" x14ac:dyDescent="0.25">
      <c r="D1315" s="2"/>
      <c r="E1315" s="2"/>
    </row>
    <row r="1316" spans="4:5" x14ac:dyDescent="0.25">
      <c r="D1316" s="2"/>
      <c r="E1316" s="2"/>
    </row>
    <row r="1317" spans="4:5" x14ac:dyDescent="0.25">
      <c r="D1317" s="2"/>
      <c r="E1317" s="2"/>
    </row>
    <row r="1318" spans="4:5" x14ac:dyDescent="0.25">
      <c r="D1318" s="2"/>
      <c r="E1318" s="2"/>
    </row>
    <row r="1319" spans="4:5" x14ac:dyDescent="0.25">
      <c r="D1319" s="2"/>
      <c r="E1319" s="2"/>
    </row>
    <row r="1320" spans="4:5" x14ac:dyDescent="0.25">
      <c r="D1320" s="2"/>
      <c r="E1320" s="2"/>
    </row>
    <row r="1321" spans="4:5" x14ac:dyDescent="0.25">
      <c r="D1321" s="2"/>
      <c r="E1321" s="2"/>
    </row>
    <row r="1322" spans="4:5" x14ac:dyDescent="0.25">
      <c r="D1322" s="2"/>
      <c r="E1322" s="2"/>
    </row>
    <row r="1323" spans="4:5" x14ac:dyDescent="0.25">
      <c r="D1323" s="2"/>
      <c r="E1323" s="2"/>
    </row>
    <row r="1324" spans="4:5" x14ac:dyDescent="0.25">
      <c r="D1324" s="2"/>
      <c r="E1324" s="2"/>
    </row>
    <row r="1325" spans="4:5" x14ac:dyDescent="0.25">
      <c r="D1325" s="2"/>
      <c r="E1325" s="2"/>
    </row>
    <row r="1326" spans="4:5" x14ac:dyDescent="0.25">
      <c r="D1326" s="2"/>
      <c r="E1326" s="2"/>
    </row>
    <row r="1327" spans="4:5" x14ac:dyDescent="0.25">
      <c r="D1327" s="2"/>
      <c r="E1327" s="2"/>
    </row>
    <row r="1328" spans="4:5" x14ac:dyDescent="0.25">
      <c r="D1328" s="2"/>
      <c r="E1328" s="2"/>
    </row>
    <row r="1329" spans="4:5" x14ac:dyDescent="0.25">
      <c r="D1329" s="2"/>
      <c r="E1329" s="2"/>
    </row>
    <row r="1330" spans="4:5" x14ac:dyDescent="0.25">
      <c r="D1330" s="2"/>
      <c r="E1330" s="2"/>
    </row>
    <row r="1331" spans="4:5" x14ac:dyDescent="0.25">
      <c r="D1331" s="2"/>
      <c r="E1331" s="2"/>
    </row>
    <row r="1332" spans="4:5" x14ac:dyDescent="0.25">
      <c r="D1332" s="2"/>
      <c r="E1332" s="2"/>
    </row>
    <row r="1333" spans="4:5" x14ac:dyDescent="0.25">
      <c r="D1333" s="2"/>
      <c r="E1333" s="2"/>
    </row>
    <row r="1334" spans="4:5" x14ac:dyDescent="0.25">
      <c r="D1334" s="2"/>
      <c r="E1334" s="2"/>
    </row>
    <row r="1335" spans="4:5" x14ac:dyDescent="0.25">
      <c r="D1335" s="2"/>
      <c r="E1335" s="2"/>
    </row>
    <row r="1336" spans="4:5" x14ac:dyDescent="0.25">
      <c r="D1336" s="2"/>
      <c r="E1336" s="2"/>
    </row>
    <row r="1337" spans="4:5" x14ac:dyDescent="0.25">
      <c r="D1337" s="2"/>
      <c r="E1337" s="2"/>
    </row>
    <row r="1338" spans="4:5" x14ac:dyDescent="0.25">
      <c r="D1338" s="2"/>
      <c r="E1338" s="2"/>
    </row>
    <row r="1339" spans="4:5" x14ac:dyDescent="0.25">
      <c r="D1339" s="2"/>
      <c r="E1339" s="2"/>
    </row>
    <row r="1340" spans="4:5" x14ac:dyDescent="0.25">
      <c r="D1340" s="2"/>
      <c r="E1340" s="2"/>
    </row>
    <row r="1341" spans="4:5" x14ac:dyDescent="0.25">
      <c r="D1341" s="2"/>
      <c r="E1341" s="2"/>
    </row>
    <row r="1342" spans="4:5" x14ac:dyDescent="0.25">
      <c r="D1342" s="2"/>
      <c r="E1342" s="2"/>
    </row>
    <row r="1343" spans="4:5" x14ac:dyDescent="0.25">
      <c r="D1343" s="2"/>
      <c r="E1343" s="2"/>
    </row>
    <row r="1344" spans="4:5" x14ac:dyDescent="0.25">
      <c r="D1344" s="2"/>
      <c r="E1344" s="2"/>
    </row>
    <row r="1345" spans="4:5" x14ac:dyDescent="0.25">
      <c r="D1345" s="2"/>
      <c r="E1345" s="2"/>
    </row>
    <row r="1346" spans="4:5" x14ac:dyDescent="0.25">
      <c r="D1346" s="2"/>
      <c r="E1346" s="2"/>
    </row>
    <row r="1347" spans="4:5" x14ac:dyDescent="0.25">
      <c r="D1347" s="2"/>
      <c r="E1347" s="2"/>
    </row>
    <row r="1348" spans="4:5" x14ac:dyDescent="0.25">
      <c r="D1348" s="2"/>
      <c r="E1348" s="2"/>
    </row>
    <row r="1349" spans="4:5" x14ac:dyDescent="0.25">
      <c r="D1349" s="2"/>
      <c r="E1349" s="2"/>
    </row>
    <row r="1350" spans="4:5" x14ac:dyDescent="0.25">
      <c r="D1350" s="2"/>
      <c r="E1350" s="2"/>
    </row>
    <row r="1351" spans="4:5" x14ac:dyDescent="0.25">
      <c r="D1351" s="2"/>
      <c r="E1351" s="2"/>
    </row>
    <row r="1352" spans="4:5" x14ac:dyDescent="0.25">
      <c r="D1352" s="2"/>
      <c r="E1352" s="2"/>
    </row>
    <row r="1353" spans="4:5" x14ac:dyDescent="0.25">
      <c r="D1353" s="2"/>
      <c r="E1353" s="2"/>
    </row>
    <row r="1354" spans="4:5" x14ac:dyDescent="0.25">
      <c r="D1354" s="2"/>
      <c r="E1354" s="2"/>
    </row>
    <row r="1355" spans="4:5" x14ac:dyDescent="0.25">
      <c r="D1355" s="2"/>
      <c r="E1355" s="2"/>
    </row>
    <row r="1356" spans="4:5" x14ac:dyDescent="0.25">
      <c r="D1356" s="2"/>
      <c r="E1356" s="2"/>
    </row>
    <row r="1357" spans="4:5" x14ac:dyDescent="0.25">
      <c r="D1357" s="2"/>
      <c r="E1357" s="2"/>
    </row>
    <row r="1358" spans="4:5" x14ac:dyDescent="0.25">
      <c r="D1358" s="2"/>
      <c r="E1358" s="2"/>
    </row>
    <row r="1359" spans="4:5" x14ac:dyDescent="0.25">
      <c r="D1359" s="2"/>
      <c r="E1359" s="2"/>
    </row>
    <row r="1360" spans="4:5" x14ac:dyDescent="0.25">
      <c r="D1360" s="2"/>
      <c r="E1360" s="2"/>
    </row>
    <row r="1361" spans="4:5" x14ac:dyDescent="0.25">
      <c r="D1361" s="2"/>
      <c r="E1361" s="2"/>
    </row>
    <row r="1362" spans="4:5" x14ac:dyDescent="0.25">
      <c r="D1362" s="2"/>
      <c r="E1362" s="2"/>
    </row>
    <row r="1363" spans="4:5" x14ac:dyDescent="0.25">
      <c r="D1363" s="2"/>
      <c r="E1363" s="2"/>
    </row>
    <row r="1364" spans="4:5" x14ac:dyDescent="0.25">
      <c r="D1364" s="2"/>
      <c r="E1364" s="2"/>
    </row>
    <row r="1365" spans="4:5" x14ac:dyDescent="0.25">
      <c r="D1365" s="2"/>
      <c r="E1365" s="2"/>
    </row>
    <row r="1366" spans="4:5" x14ac:dyDescent="0.25">
      <c r="D1366" s="2"/>
      <c r="E1366" s="2"/>
    </row>
    <row r="1367" spans="4:5" x14ac:dyDescent="0.25">
      <c r="D1367" s="2"/>
      <c r="E1367" s="2"/>
    </row>
    <row r="1368" spans="4:5" x14ac:dyDescent="0.25">
      <c r="D1368" s="2"/>
      <c r="E1368" s="2"/>
    </row>
    <row r="1369" spans="4:5" x14ac:dyDescent="0.25">
      <c r="D1369" s="2"/>
      <c r="E1369" s="2"/>
    </row>
    <row r="1370" spans="4:5" x14ac:dyDescent="0.25">
      <c r="D1370" s="2"/>
      <c r="E1370" s="2"/>
    </row>
    <row r="1371" spans="4:5" x14ac:dyDescent="0.25">
      <c r="D1371" s="2"/>
      <c r="E1371" s="2"/>
    </row>
    <row r="1372" spans="4:5" x14ac:dyDescent="0.25">
      <c r="D1372" s="2"/>
      <c r="E1372" s="2"/>
    </row>
    <row r="1373" spans="4:5" x14ac:dyDescent="0.25">
      <c r="D1373" s="2"/>
      <c r="E1373" s="2"/>
    </row>
    <row r="1374" spans="4:5" x14ac:dyDescent="0.25">
      <c r="D1374" s="2"/>
      <c r="E1374" s="2"/>
    </row>
    <row r="1375" spans="4:5" x14ac:dyDescent="0.25">
      <c r="D1375" s="2"/>
      <c r="E1375" s="2"/>
    </row>
    <row r="1376" spans="4:5" x14ac:dyDescent="0.25">
      <c r="D1376" s="2"/>
      <c r="E1376" s="2"/>
    </row>
    <row r="1377" spans="4:5" x14ac:dyDescent="0.25">
      <c r="D1377" s="2"/>
      <c r="E1377" s="2"/>
    </row>
    <row r="1378" spans="4:5" x14ac:dyDescent="0.25">
      <c r="D1378" s="2"/>
      <c r="E1378" s="2"/>
    </row>
    <row r="1379" spans="4:5" x14ac:dyDescent="0.25">
      <c r="D1379" s="2"/>
      <c r="E1379" s="2"/>
    </row>
    <row r="1380" spans="4:5" x14ac:dyDescent="0.25">
      <c r="D1380" s="2"/>
      <c r="E1380" s="2"/>
    </row>
    <row r="1381" spans="4:5" x14ac:dyDescent="0.25">
      <c r="D1381" s="2"/>
      <c r="E1381" s="2"/>
    </row>
    <row r="1382" spans="4:5" x14ac:dyDescent="0.25">
      <c r="D1382" s="2"/>
      <c r="E1382" s="2"/>
    </row>
    <row r="1383" spans="4:5" x14ac:dyDescent="0.25">
      <c r="D1383" s="2"/>
      <c r="E1383" s="2"/>
    </row>
    <row r="1384" spans="4:5" x14ac:dyDescent="0.25">
      <c r="D1384" s="2"/>
      <c r="E1384" s="2"/>
    </row>
    <row r="1385" spans="4:5" x14ac:dyDescent="0.25">
      <c r="D1385" s="2"/>
      <c r="E1385" s="2"/>
    </row>
    <row r="1386" spans="4:5" x14ac:dyDescent="0.25">
      <c r="D1386" s="2"/>
      <c r="E1386" s="2"/>
    </row>
    <row r="1387" spans="4:5" x14ac:dyDescent="0.25">
      <c r="D1387" s="2"/>
      <c r="E1387" s="2"/>
    </row>
    <row r="1388" spans="4:5" x14ac:dyDescent="0.25">
      <c r="D1388" s="2"/>
      <c r="E1388" s="2"/>
    </row>
    <row r="1389" spans="4:5" x14ac:dyDescent="0.25">
      <c r="D1389" s="2"/>
      <c r="E1389" s="2"/>
    </row>
    <row r="1390" spans="4:5" x14ac:dyDescent="0.25">
      <c r="D1390" s="2"/>
      <c r="E1390" s="2"/>
    </row>
    <row r="1391" spans="4:5" x14ac:dyDescent="0.25">
      <c r="D1391" s="2"/>
      <c r="E1391" s="2"/>
    </row>
    <row r="1392" spans="4:5" x14ac:dyDescent="0.25">
      <c r="D1392" s="2"/>
      <c r="E1392" s="2"/>
    </row>
    <row r="1393" spans="4:5" x14ac:dyDescent="0.25">
      <c r="D1393" s="2"/>
      <c r="E1393" s="2"/>
    </row>
    <row r="1394" spans="4:5" x14ac:dyDescent="0.25">
      <c r="D1394" s="2"/>
      <c r="E1394" s="2"/>
    </row>
    <row r="1395" spans="4:5" x14ac:dyDescent="0.25">
      <c r="D1395" s="2"/>
      <c r="E1395" s="2"/>
    </row>
    <row r="1396" spans="4:5" x14ac:dyDescent="0.25">
      <c r="D1396" s="2"/>
      <c r="E1396" s="2"/>
    </row>
    <row r="1397" spans="4:5" x14ac:dyDescent="0.25">
      <c r="D1397" s="2"/>
      <c r="E1397" s="2"/>
    </row>
    <row r="1398" spans="4:5" x14ac:dyDescent="0.25">
      <c r="D1398" s="2"/>
      <c r="E1398" s="2"/>
    </row>
    <row r="1399" spans="4:5" x14ac:dyDescent="0.25">
      <c r="D1399" s="2"/>
      <c r="E1399" s="2"/>
    </row>
    <row r="1400" spans="4:5" x14ac:dyDescent="0.25">
      <c r="D1400" s="2"/>
      <c r="E1400" s="2"/>
    </row>
    <row r="1401" spans="4:5" x14ac:dyDescent="0.25">
      <c r="D1401" s="2"/>
      <c r="E1401" s="2"/>
    </row>
    <row r="1402" spans="4:5" x14ac:dyDescent="0.25">
      <c r="D1402" s="2"/>
      <c r="E1402" s="2"/>
    </row>
    <row r="1403" spans="4:5" x14ac:dyDescent="0.25">
      <c r="D1403" s="2"/>
      <c r="E1403" s="2"/>
    </row>
    <row r="1404" spans="4:5" x14ac:dyDescent="0.25">
      <c r="D1404" s="2"/>
      <c r="E1404" s="2"/>
    </row>
    <row r="1405" spans="4:5" x14ac:dyDescent="0.25">
      <c r="D1405" s="2"/>
      <c r="E1405" s="2"/>
    </row>
    <row r="1406" spans="4:5" x14ac:dyDescent="0.25">
      <c r="D1406" s="2"/>
      <c r="E1406" s="2"/>
    </row>
    <row r="1407" spans="4:5" x14ac:dyDescent="0.25">
      <c r="D1407" s="2"/>
      <c r="E1407" s="2"/>
    </row>
    <row r="1408" spans="4:5" x14ac:dyDescent="0.25">
      <c r="D1408" s="2"/>
      <c r="E1408" s="2"/>
    </row>
    <row r="1409" spans="4:5" x14ac:dyDescent="0.25">
      <c r="D1409" s="2"/>
      <c r="E1409" s="2"/>
    </row>
    <row r="1410" spans="4:5" x14ac:dyDescent="0.25">
      <c r="D1410" s="2"/>
      <c r="E1410" s="2"/>
    </row>
    <row r="1411" spans="4:5" x14ac:dyDescent="0.25">
      <c r="D1411" s="2"/>
      <c r="E1411" s="2"/>
    </row>
    <row r="1412" spans="4:5" x14ac:dyDescent="0.25">
      <c r="D1412" s="2"/>
      <c r="E1412" s="2"/>
    </row>
    <row r="1413" spans="4:5" x14ac:dyDescent="0.25">
      <c r="D1413" s="2"/>
      <c r="E1413" s="2"/>
    </row>
    <row r="1414" spans="4:5" x14ac:dyDescent="0.25">
      <c r="D1414" s="2"/>
      <c r="E1414" s="2"/>
    </row>
    <row r="1415" spans="4:5" x14ac:dyDescent="0.25">
      <c r="D1415" s="2"/>
      <c r="E1415" s="2"/>
    </row>
    <row r="1416" spans="4:5" x14ac:dyDescent="0.25">
      <c r="D1416" s="2"/>
      <c r="E1416" s="2"/>
    </row>
    <row r="1417" spans="4:5" x14ac:dyDescent="0.25">
      <c r="D1417" s="2"/>
      <c r="E1417" s="2"/>
    </row>
    <row r="1418" spans="4:5" x14ac:dyDescent="0.25">
      <c r="D1418" s="2"/>
      <c r="E1418" s="2"/>
    </row>
    <row r="1419" spans="4:5" x14ac:dyDescent="0.25">
      <c r="D1419" s="2"/>
      <c r="E1419" s="2"/>
    </row>
    <row r="1420" spans="4:5" x14ac:dyDescent="0.25">
      <c r="D1420" s="2"/>
      <c r="E1420" s="2"/>
    </row>
    <row r="1421" spans="4:5" x14ac:dyDescent="0.25">
      <c r="D1421" s="2"/>
      <c r="E1421" s="2"/>
    </row>
    <row r="1422" spans="4:5" x14ac:dyDescent="0.25">
      <c r="D1422" s="2"/>
      <c r="E1422" s="2"/>
    </row>
    <row r="1423" spans="4:5" x14ac:dyDescent="0.25">
      <c r="D1423" s="2"/>
      <c r="E1423" s="2"/>
    </row>
    <row r="1424" spans="4:5" x14ac:dyDescent="0.25">
      <c r="D1424" s="2"/>
      <c r="E1424" s="2"/>
    </row>
    <row r="1425" spans="4:5" x14ac:dyDescent="0.25">
      <c r="D1425" s="2"/>
      <c r="E1425" s="2"/>
    </row>
    <row r="1426" spans="4:5" x14ac:dyDescent="0.25">
      <c r="D1426" s="2"/>
      <c r="E1426" s="2"/>
    </row>
    <row r="1427" spans="4:5" x14ac:dyDescent="0.25">
      <c r="D1427" s="2"/>
      <c r="E1427" s="2"/>
    </row>
    <row r="1428" spans="4:5" x14ac:dyDescent="0.25">
      <c r="D1428" s="2"/>
      <c r="E1428" s="2"/>
    </row>
    <row r="1429" spans="4:5" x14ac:dyDescent="0.25">
      <c r="D1429" s="2"/>
      <c r="E1429" s="2"/>
    </row>
    <row r="1430" spans="4:5" x14ac:dyDescent="0.25">
      <c r="D1430" s="2"/>
      <c r="E1430" s="2"/>
    </row>
    <row r="1431" spans="4:5" x14ac:dyDescent="0.25">
      <c r="D1431" s="2"/>
      <c r="E1431" s="2"/>
    </row>
    <row r="1432" spans="4:5" x14ac:dyDescent="0.25">
      <c r="D1432" s="2"/>
      <c r="E1432" s="2"/>
    </row>
    <row r="1433" spans="4:5" x14ac:dyDescent="0.25">
      <c r="D1433" s="2"/>
      <c r="E1433" s="2"/>
    </row>
    <row r="1434" spans="4:5" x14ac:dyDescent="0.25">
      <c r="D1434" s="2"/>
      <c r="E1434" s="2"/>
    </row>
    <row r="1435" spans="4:5" x14ac:dyDescent="0.25">
      <c r="D1435" s="2"/>
      <c r="E1435" s="2"/>
    </row>
    <row r="1436" spans="4:5" x14ac:dyDescent="0.25">
      <c r="D1436" s="2"/>
      <c r="E1436" s="2"/>
    </row>
    <row r="1437" spans="4:5" x14ac:dyDescent="0.25">
      <c r="D1437" s="2"/>
      <c r="E1437" s="2"/>
    </row>
    <row r="1438" spans="4:5" x14ac:dyDescent="0.25">
      <c r="D1438" s="2"/>
      <c r="E1438" s="2"/>
    </row>
    <row r="1439" spans="4:5" x14ac:dyDescent="0.25">
      <c r="D1439" s="2"/>
      <c r="E1439" s="2"/>
    </row>
    <row r="1440" spans="4:5" x14ac:dyDescent="0.25">
      <c r="D1440" s="2"/>
      <c r="E1440" s="2"/>
    </row>
    <row r="1441" spans="4:5" x14ac:dyDescent="0.25">
      <c r="D1441" s="2"/>
      <c r="E1441" s="2"/>
    </row>
    <row r="1442" spans="4:5" x14ac:dyDescent="0.25">
      <c r="D1442" s="2"/>
      <c r="E1442" s="2"/>
    </row>
    <row r="1443" spans="4:5" x14ac:dyDescent="0.25">
      <c r="D1443" s="2"/>
      <c r="E1443" s="2"/>
    </row>
    <row r="1444" spans="4:5" x14ac:dyDescent="0.25">
      <c r="D1444" s="2"/>
      <c r="E1444" s="2"/>
    </row>
    <row r="1445" spans="4:5" x14ac:dyDescent="0.25">
      <c r="D1445" s="2"/>
      <c r="E1445" s="2"/>
    </row>
    <row r="1446" spans="4:5" x14ac:dyDescent="0.25">
      <c r="D1446" s="2"/>
      <c r="E1446" s="2"/>
    </row>
    <row r="1447" spans="4:5" x14ac:dyDescent="0.25">
      <c r="D1447" s="2"/>
      <c r="E1447" s="2"/>
    </row>
    <row r="1448" spans="4:5" x14ac:dyDescent="0.25">
      <c r="D1448" s="2"/>
      <c r="E1448" s="2"/>
    </row>
    <row r="1449" spans="4:5" x14ac:dyDescent="0.25">
      <c r="D1449" s="2"/>
      <c r="E1449" s="2"/>
    </row>
    <row r="1450" spans="4:5" x14ac:dyDescent="0.25">
      <c r="D1450" s="2"/>
      <c r="E1450" s="2"/>
    </row>
    <row r="1451" spans="4:5" x14ac:dyDescent="0.25">
      <c r="D1451" s="2"/>
      <c r="E1451" s="2"/>
    </row>
    <row r="1452" spans="4:5" x14ac:dyDescent="0.25">
      <c r="D1452" s="2"/>
      <c r="E1452" s="2"/>
    </row>
    <row r="1453" spans="4:5" x14ac:dyDescent="0.25">
      <c r="D1453" s="2"/>
      <c r="E1453" s="2"/>
    </row>
    <row r="1454" spans="4:5" x14ac:dyDescent="0.25">
      <c r="D1454" s="2"/>
      <c r="E1454" s="2"/>
    </row>
    <row r="1455" spans="4:5" x14ac:dyDescent="0.25">
      <c r="D1455" s="2"/>
      <c r="E1455" s="2"/>
    </row>
    <row r="1456" spans="4:5" x14ac:dyDescent="0.25">
      <c r="D1456" s="2"/>
      <c r="E1456" s="2"/>
    </row>
    <row r="1457" spans="4:5" x14ac:dyDescent="0.25">
      <c r="D1457" s="2"/>
      <c r="E1457" s="2"/>
    </row>
    <row r="1458" spans="4:5" x14ac:dyDescent="0.25">
      <c r="D1458" s="2"/>
      <c r="E1458" s="2"/>
    </row>
    <row r="1459" spans="4:5" x14ac:dyDescent="0.25">
      <c r="D1459" s="2"/>
      <c r="E1459" s="2"/>
    </row>
    <row r="1460" spans="4:5" x14ac:dyDescent="0.25">
      <c r="D1460" s="2"/>
      <c r="E1460" s="2"/>
    </row>
    <row r="1461" spans="4:5" x14ac:dyDescent="0.25">
      <c r="D1461" s="2"/>
      <c r="E1461" s="2"/>
    </row>
    <row r="1462" spans="4:5" x14ac:dyDescent="0.25">
      <c r="D1462" s="2"/>
      <c r="E1462" s="2"/>
    </row>
    <row r="1463" spans="4:5" x14ac:dyDescent="0.25">
      <c r="D1463" s="2"/>
      <c r="E1463" s="2"/>
    </row>
    <row r="1464" spans="4:5" x14ac:dyDescent="0.25">
      <c r="D1464" s="2"/>
      <c r="E1464" s="2"/>
    </row>
    <row r="1465" spans="4:5" x14ac:dyDescent="0.25">
      <c r="D1465" s="2"/>
      <c r="E1465" s="2"/>
    </row>
    <row r="1466" spans="4:5" x14ac:dyDescent="0.25">
      <c r="D1466" s="2"/>
      <c r="E1466" s="2"/>
    </row>
    <row r="1467" spans="4:5" x14ac:dyDescent="0.25">
      <c r="D1467" s="2"/>
      <c r="E1467" s="2"/>
    </row>
    <row r="1468" spans="4:5" x14ac:dyDescent="0.25">
      <c r="D1468" s="2"/>
      <c r="E1468" s="2"/>
    </row>
    <row r="1469" spans="4:5" x14ac:dyDescent="0.25">
      <c r="D1469" s="2"/>
      <c r="E1469" s="2"/>
    </row>
    <row r="1470" spans="4:5" x14ac:dyDescent="0.25">
      <c r="D1470" s="2"/>
      <c r="E1470" s="2"/>
    </row>
    <row r="1471" spans="4:5" x14ac:dyDescent="0.25">
      <c r="D1471" s="2"/>
      <c r="E1471" s="2"/>
    </row>
    <row r="1472" spans="4:5" x14ac:dyDescent="0.25">
      <c r="D1472" s="2"/>
      <c r="E1472" s="2"/>
    </row>
    <row r="1473" spans="4:5" x14ac:dyDescent="0.25">
      <c r="D1473" s="2"/>
      <c r="E1473" s="2"/>
    </row>
    <row r="1474" spans="4:5" x14ac:dyDescent="0.25">
      <c r="D1474" s="2"/>
      <c r="E1474" s="2"/>
    </row>
    <row r="1475" spans="4:5" x14ac:dyDescent="0.25">
      <c r="D1475" s="2"/>
      <c r="E1475" s="2"/>
    </row>
    <row r="1476" spans="4:5" x14ac:dyDescent="0.25">
      <c r="D1476" s="2"/>
      <c r="E1476" s="2"/>
    </row>
    <row r="1477" spans="4:5" x14ac:dyDescent="0.25">
      <c r="D1477" s="2"/>
      <c r="E1477" s="2"/>
    </row>
    <row r="1478" spans="4:5" x14ac:dyDescent="0.25">
      <c r="D1478" s="2"/>
      <c r="E1478" s="2"/>
    </row>
    <row r="1479" spans="4:5" x14ac:dyDescent="0.25">
      <c r="D1479" s="2"/>
      <c r="E1479" s="2"/>
    </row>
    <row r="1480" spans="4:5" x14ac:dyDescent="0.25">
      <c r="D1480" s="2"/>
      <c r="E1480" s="2"/>
    </row>
    <row r="1481" spans="4:5" x14ac:dyDescent="0.25">
      <c r="D1481" s="2"/>
      <c r="E1481" s="2"/>
    </row>
    <row r="1482" spans="4:5" x14ac:dyDescent="0.25">
      <c r="D1482" s="2"/>
      <c r="E1482" s="2"/>
    </row>
    <row r="1483" spans="4:5" x14ac:dyDescent="0.25">
      <c r="D1483" s="2"/>
      <c r="E1483" s="2"/>
    </row>
    <row r="1484" spans="4:5" x14ac:dyDescent="0.25">
      <c r="D1484" s="2"/>
      <c r="E1484" s="2"/>
    </row>
    <row r="1485" spans="4:5" x14ac:dyDescent="0.25">
      <c r="D1485" s="2"/>
      <c r="E1485" s="2"/>
    </row>
    <row r="1486" spans="4:5" x14ac:dyDescent="0.25">
      <c r="D1486" s="2"/>
      <c r="E1486" s="2"/>
    </row>
    <row r="1487" spans="4:5" x14ac:dyDescent="0.25">
      <c r="D1487" s="2"/>
      <c r="E1487" s="2"/>
    </row>
    <row r="1488" spans="4:5" x14ac:dyDescent="0.25">
      <c r="D1488" s="2"/>
      <c r="E1488" s="2"/>
    </row>
    <row r="1489" spans="4:5" x14ac:dyDescent="0.25">
      <c r="D1489" s="2"/>
      <c r="E1489" s="2"/>
    </row>
    <row r="1490" spans="4:5" x14ac:dyDescent="0.25">
      <c r="D1490" s="2"/>
      <c r="E1490" s="2"/>
    </row>
    <row r="1491" spans="4:5" x14ac:dyDescent="0.25">
      <c r="D1491" s="2"/>
      <c r="E1491" s="2"/>
    </row>
    <row r="1492" spans="4:5" x14ac:dyDescent="0.25">
      <c r="D1492" s="2"/>
      <c r="E1492" s="2"/>
    </row>
    <row r="1493" spans="4:5" x14ac:dyDescent="0.25">
      <c r="D1493" s="2"/>
      <c r="E1493" s="2"/>
    </row>
    <row r="1494" spans="4:5" x14ac:dyDescent="0.25">
      <c r="D1494" s="2"/>
      <c r="E1494" s="2"/>
    </row>
    <row r="1495" spans="4:5" x14ac:dyDescent="0.25">
      <c r="D1495" s="2"/>
      <c r="E1495" s="2"/>
    </row>
    <row r="1496" spans="4:5" x14ac:dyDescent="0.25">
      <c r="D1496" s="2"/>
      <c r="E1496" s="2"/>
    </row>
    <row r="1497" spans="4:5" x14ac:dyDescent="0.25">
      <c r="D1497" s="2"/>
      <c r="E1497" s="2"/>
    </row>
    <row r="1498" spans="4:5" x14ac:dyDescent="0.25">
      <c r="D1498" s="2"/>
      <c r="E1498" s="2"/>
    </row>
    <row r="1499" spans="4:5" x14ac:dyDescent="0.25">
      <c r="D1499" s="2"/>
      <c r="E1499" s="2"/>
    </row>
    <row r="1500" spans="4:5" x14ac:dyDescent="0.25">
      <c r="D1500" s="2"/>
      <c r="E1500" s="2"/>
    </row>
    <row r="1501" spans="4:5" x14ac:dyDescent="0.25">
      <c r="D1501" s="2"/>
      <c r="E1501" s="2"/>
    </row>
    <row r="1502" spans="4:5" x14ac:dyDescent="0.25">
      <c r="D1502" s="2"/>
      <c r="E1502" s="2"/>
    </row>
    <row r="1503" spans="4:5" x14ac:dyDescent="0.25">
      <c r="D1503" s="2"/>
      <c r="E1503" s="2"/>
    </row>
    <row r="1504" spans="4:5" x14ac:dyDescent="0.25">
      <c r="D1504" s="2"/>
      <c r="E1504" s="2"/>
    </row>
    <row r="1505" spans="4:5" x14ac:dyDescent="0.25">
      <c r="D1505" s="2"/>
      <c r="E1505" s="2"/>
    </row>
    <row r="1506" spans="4:5" x14ac:dyDescent="0.25">
      <c r="D1506" s="2"/>
      <c r="E1506" s="2"/>
    </row>
    <row r="1507" spans="4:5" x14ac:dyDescent="0.25">
      <c r="D1507" s="2"/>
      <c r="E1507" s="2"/>
    </row>
    <row r="1508" spans="4:5" x14ac:dyDescent="0.25">
      <c r="D1508" s="2"/>
      <c r="E1508" s="2"/>
    </row>
    <row r="1509" spans="4:5" x14ac:dyDescent="0.25">
      <c r="D1509" s="2"/>
      <c r="E1509" s="2"/>
    </row>
    <row r="1510" spans="4:5" x14ac:dyDescent="0.25">
      <c r="D1510" s="2"/>
      <c r="E1510" s="2"/>
    </row>
    <row r="1511" spans="4:5" x14ac:dyDescent="0.25">
      <c r="D1511" s="2"/>
      <c r="E1511" s="2"/>
    </row>
    <row r="1512" spans="4:5" x14ac:dyDescent="0.25">
      <c r="D1512" s="2"/>
      <c r="E1512" s="2"/>
    </row>
    <row r="1513" spans="4:5" x14ac:dyDescent="0.25">
      <c r="D1513" s="2"/>
      <c r="E1513" s="2"/>
    </row>
    <row r="1514" spans="4:5" x14ac:dyDescent="0.25">
      <c r="D1514" s="2"/>
      <c r="E1514" s="2"/>
    </row>
    <row r="1515" spans="4:5" x14ac:dyDescent="0.25">
      <c r="D1515" s="2"/>
      <c r="E1515" s="2"/>
    </row>
    <row r="1516" spans="4:5" x14ac:dyDescent="0.25">
      <c r="D1516" s="2"/>
      <c r="E1516" s="2"/>
    </row>
    <row r="1517" spans="4:5" x14ac:dyDescent="0.25">
      <c r="D1517" s="2"/>
      <c r="E1517" s="2"/>
    </row>
    <row r="1518" spans="4:5" x14ac:dyDescent="0.25">
      <c r="D1518" s="2"/>
      <c r="E1518" s="2"/>
    </row>
    <row r="1519" spans="4:5" x14ac:dyDescent="0.25">
      <c r="D1519" s="2"/>
      <c r="E1519" s="2"/>
    </row>
    <row r="1520" spans="4:5" x14ac:dyDescent="0.25">
      <c r="D1520" s="2"/>
      <c r="E1520" s="2"/>
    </row>
    <row r="1521" spans="4:5" x14ac:dyDescent="0.25">
      <c r="D1521" s="2"/>
      <c r="E1521" s="2"/>
    </row>
    <row r="1522" spans="4:5" x14ac:dyDescent="0.25">
      <c r="D1522" s="2"/>
      <c r="E1522" s="2"/>
    </row>
    <row r="1523" spans="4:5" x14ac:dyDescent="0.25">
      <c r="D1523" s="2"/>
      <c r="E1523" s="2"/>
    </row>
    <row r="1524" spans="4:5" x14ac:dyDescent="0.25">
      <c r="D1524" s="2"/>
      <c r="E1524" s="2"/>
    </row>
    <row r="1525" spans="4:5" x14ac:dyDescent="0.25">
      <c r="D1525" s="2"/>
      <c r="E1525" s="2"/>
    </row>
    <row r="1526" spans="4:5" x14ac:dyDescent="0.25">
      <c r="D1526" s="2"/>
      <c r="E1526" s="2"/>
    </row>
    <row r="1527" spans="4:5" x14ac:dyDescent="0.25">
      <c r="D1527" s="2"/>
      <c r="E1527" s="2"/>
    </row>
    <row r="1528" spans="4:5" x14ac:dyDescent="0.25">
      <c r="D1528" s="2"/>
      <c r="E1528" s="2"/>
    </row>
    <row r="1529" spans="4:5" x14ac:dyDescent="0.25">
      <c r="D1529" s="2"/>
      <c r="E1529" s="2"/>
    </row>
    <row r="1530" spans="4:5" x14ac:dyDescent="0.25">
      <c r="D1530" s="2"/>
      <c r="E1530" s="2"/>
    </row>
    <row r="1531" spans="4:5" x14ac:dyDescent="0.25">
      <c r="D1531" s="2"/>
      <c r="E1531" s="2"/>
    </row>
    <row r="1532" spans="4:5" x14ac:dyDescent="0.25">
      <c r="D1532" s="2"/>
      <c r="E1532" s="2"/>
    </row>
    <row r="1533" spans="4:5" x14ac:dyDescent="0.25">
      <c r="D1533" s="2"/>
      <c r="E1533" s="2"/>
    </row>
    <row r="1534" spans="4:5" x14ac:dyDescent="0.25">
      <c r="D1534" s="2"/>
      <c r="E1534" s="2"/>
    </row>
    <row r="1535" spans="4:5" x14ac:dyDescent="0.25">
      <c r="D1535" s="2"/>
      <c r="E1535" s="2"/>
    </row>
    <row r="1536" spans="4:5" x14ac:dyDescent="0.25">
      <c r="D1536" s="2"/>
      <c r="E1536" s="2"/>
    </row>
    <row r="1537" spans="4:5" x14ac:dyDescent="0.25">
      <c r="D1537" s="2"/>
      <c r="E1537" s="2"/>
    </row>
    <row r="1538" spans="4:5" x14ac:dyDescent="0.25">
      <c r="D1538" s="2"/>
      <c r="E1538" s="2"/>
    </row>
    <row r="1539" spans="4:5" x14ac:dyDescent="0.25">
      <c r="D1539" s="2"/>
      <c r="E1539" s="2"/>
    </row>
    <row r="1540" spans="4:5" x14ac:dyDescent="0.25">
      <c r="D1540" s="2"/>
      <c r="E1540" s="2"/>
    </row>
    <row r="1541" spans="4:5" x14ac:dyDescent="0.25">
      <c r="D1541" s="2"/>
      <c r="E1541" s="2"/>
    </row>
    <row r="1542" spans="4:5" x14ac:dyDescent="0.25">
      <c r="D1542" s="2"/>
      <c r="E1542" s="2"/>
    </row>
    <row r="1543" spans="4:5" x14ac:dyDescent="0.25">
      <c r="D1543" s="2"/>
      <c r="E1543" s="2"/>
    </row>
    <row r="1544" spans="4:5" x14ac:dyDescent="0.25">
      <c r="D1544" s="2"/>
      <c r="E1544" s="2"/>
    </row>
    <row r="1545" spans="4:5" x14ac:dyDescent="0.25">
      <c r="D1545" s="2"/>
      <c r="E1545" s="2"/>
    </row>
    <row r="1546" spans="4:5" x14ac:dyDescent="0.25">
      <c r="D1546" s="2"/>
      <c r="E1546" s="2"/>
    </row>
    <row r="1547" spans="4:5" x14ac:dyDescent="0.25">
      <c r="D1547" s="2"/>
      <c r="E1547" s="2"/>
    </row>
    <row r="1548" spans="4:5" x14ac:dyDescent="0.25">
      <c r="D1548" s="2"/>
      <c r="E1548" s="2"/>
    </row>
    <row r="1549" spans="4:5" x14ac:dyDescent="0.25">
      <c r="D1549" s="2"/>
      <c r="E1549" s="2"/>
    </row>
    <row r="1550" spans="4:5" x14ac:dyDescent="0.25">
      <c r="D1550" s="2"/>
      <c r="E1550" s="2"/>
    </row>
    <row r="1551" spans="4:5" x14ac:dyDescent="0.25">
      <c r="D1551" s="2"/>
      <c r="E1551" s="2"/>
    </row>
    <row r="1552" spans="4:5" x14ac:dyDescent="0.25">
      <c r="D1552" s="2"/>
      <c r="E1552" s="2"/>
    </row>
    <row r="1553" spans="4:5" x14ac:dyDescent="0.25">
      <c r="D1553" s="2"/>
      <c r="E1553" s="2"/>
    </row>
    <row r="1554" spans="4:5" x14ac:dyDescent="0.25">
      <c r="D1554" s="2"/>
      <c r="E1554" s="2"/>
    </row>
    <row r="1555" spans="4:5" x14ac:dyDescent="0.25">
      <c r="D1555" s="2"/>
      <c r="E1555" s="2"/>
    </row>
    <row r="1556" spans="4:5" x14ac:dyDescent="0.25">
      <c r="D1556" s="2"/>
      <c r="E1556" s="2"/>
    </row>
    <row r="1557" spans="4:5" x14ac:dyDescent="0.25">
      <c r="D1557" s="2"/>
      <c r="E1557" s="2"/>
    </row>
    <row r="1558" spans="4:5" x14ac:dyDescent="0.25">
      <c r="D1558" s="2"/>
      <c r="E1558" s="2"/>
    </row>
    <row r="1559" spans="4:5" x14ac:dyDescent="0.25">
      <c r="D1559" s="2"/>
      <c r="E1559" s="2"/>
    </row>
    <row r="1560" spans="4:5" x14ac:dyDescent="0.25">
      <c r="D1560" s="2"/>
      <c r="E1560" s="2"/>
    </row>
    <row r="1561" spans="4:5" x14ac:dyDescent="0.25">
      <c r="D1561" s="2"/>
      <c r="E1561" s="2"/>
    </row>
    <row r="1562" spans="4:5" x14ac:dyDescent="0.25">
      <c r="D1562" s="2"/>
      <c r="E1562" s="2"/>
    </row>
    <row r="1563" spans="4:5" x14ac:dyDescent="0.25">
      <c r="D1563" s="2"/>
      <c r="E1563" s="2"/>
    </row>
    <row r="1564" spans="4:5" x14ac:dyDescent="0.25">
      <c r="D1564" s="2"/>
      <c r="E1564" s="2"/>
    </row>
    <row r="1565" spans="4:5" x14ac:dyDescent="0.25">
      <c r="D1565" s="2"/>
      <c r="E1565" s="2"/>
    </row>
    <row r="1566" spans="4:5" x14ac:dyDescent="0.25">
      <c r="D1566" s="2"/>
      <c r="E1566" s="2"/>
    </row>
    <row r="1567" spans="4:5" x14ac:dyDescent="0.25">
      <c r="D1567" s="2"/>
      <c r="E1567" s="2"/>
    </row>
    <row r="1568" spans="4:5" x14ac:dyDescent="0.25">
      <c r="D1568" s="2"/>
      <c r="E1568" s="2"/>
    </row>
    <row r="1569" spans="4:5" x14ac:dyDescent="0.25">
      <c r="D1569" s="2"/>
      <c r="E1569" s="2"/>
    </row>
    <row r="1570" spans="4:5" x14ac:dyDescent="0.25">
      <c r="D1570" s="2"/>
      <c r="E1570" s="2"/>
    </row>
    <row r="1571" spans="4:5" x14ac:dyDescent="0.25">
      <c r="D1571" s="2"/>
      <c r="E1571" s="2"/>
    </row>
    <row r="1572" spans="4:5" x14ac:dyDescent="0.25">
      <c r="D1572" s="2"/>
      <c r="E1572" s="2"/>
    </row>
    <row r="1573" spans="4:5" x14ac:dyDescent="0.25">
      <c r="D1573" s="2"/>
      <c r="E1573" s="2"/>
    </row>
    <row r="1574" spans="4:5" x14ac:dyDescent="0.25">
      <c r="D1574" s="2"/>
      <c r="E1574" s="2"/>
    </row>
    <row r="1575" spans="4:5" x14ac:dyDescent="0.25">
      <c r="D1575" s="2"/>
      <c r="E1575" s="2"/>
    </row>
    <row r="1576" spans="4:5" x14ac:dyDescent="0.25">
      <c r="D1576" s="2"/>
      <c r="E1576" s="2"/>
    </row>
    <row r="1577" spans="4:5" x14ac:dyDescent="0.25">
      <c r="D1577" s="2"/>
      <c r="E1577" s="2"/>
    </row>
    <row r="1578" spans="4:5" x14ac:dyDescent="0.25">
      <c r="D1578" s="2"/>
      <c r="E1578" s="2"/>
    </row>
    <row r="1579" spans="4:5" x14ac:dyDescent="0.25">
      <c r="D1579" s="2"/>
      <c r="E1579" s="2"/>
    </row>
    <row r="1580" spans="4:5" x14ac:dyDescent="0.25">
      <c r="D1580" s="2"/>
      <c r="E1580" s="2"/>
    </row>
    <row r="1581" spans="4:5" x14ac:dyDescent="0.25">
      <c r="D1581" s="2"/>
      <c r="E1581" s="2"/>
    </row>
    <row r="1582" spans="4:5" x14ac:dyDescent="0.25">
      <c r="D1582" s="2"/>
      <c r="E1582" s="2"/>
    </row>
    <row r="1583" spans="4:5" x14ac:dyDescent="0.25">
      <c r="D1583" s="2"/>
      <c r="E1583" s="2"/>
    </row>
    <row r="1584" spans="4:5" x14ac:dyDescent="0.25">
      <c r="D1584" s="2"/>
      <c r="E1584" s="2"/>
    </row>
    <row r="1585" spans="4:5" x14ac:dyDescent="0.25">
      <c r="D1585" s="2"/>
      <c r="E1585" s="2"/>
    </row>
    <row r="1586" spans="4:5" x14ac:dyDescent="0.25">
      <c r="D1586" s="2"/>
      <c r="E1586" s="2"/>
    </row>
    <row r="1587" spans="4:5" x14ac:dyDescent="0.25">
      <c r="D1587" s="2"/>
      <c r="E1587" s="2"/>
    </row>
    <row r="1588" spans="4:5" x14ac:dyDescent="0.25">
      <c r="D1588" s="2"/>
      <c r="E1588" s="2"/>
    </row>
    <row r="1589" spans="4:5" x14ac:dyDescent="0.25">
      <c r="D1589" s="2"/>
      <c r="E1589" s="2"/>
    </row>
    <row r="1590" spans="4:5" x14ac:dyDescent="0.25">
      <c r="D1590" s="2"/>
      <c r="E1590" s="2"/>
    </row>
    <row r="1591" spans="4:5" x14ac:dyDescent="0.25">
      <c r="D1591" s="2"/>
      <c r="E1591" s="2"/>
    </row>
    <row r="1592" spans="4:5" x14ac:dyDescent="0.25">
      <c r="D1592" s="2"/>
      <c r="E1592" s="2"/>
    </row>
    <row r="1593" spans="4:5" x14ac:dyDescent="0.25">
      <c r="D1593" s="2"/>
      <c r="E1593" s="2"/>
    </row>
    <row r="1594" spans="4:5" x14ac:dyDescent="0.25">
      <c r="D1594" s="2"/>
      <c r="E1594" s="2"/>
    </row>
    <row r="1595" spans="4:5" x14ac:dyDescent="0.25">
      <c r="D1595" s="2"/>
      <c r="E1595" s="2"/>
    </row>
    <row r="1596" spans="4:5" x14ac:dyDescent="0.25">
      <c r="D1596" s="2"/>
      <c r="E1596" s="2"/>
    </row>
    <row r="1597" spans="4:5" x14ac:dyDescent="0.25">
      <c r="D1597" s="2"/>
      <c r="E1597" s="2"/>
    </row>
    <row r="1598" spans="4:5" x14ac:dyDescent="0.25">
      <c r="D1598" s="2"/>
      <c r="E1598" s="2"/>
    </row>
    <row r="1599" spans="4:5" x14ac:dyDescent="0.25">
      <c r="D1599" s="2"/>
      <c r="E1599" s="2"/>
    </row>
    <row r="1600" spans="4:5" x14ac:dyDescent="0.25">
      <c r="D1600" s="2"/>
      <c r="E1600" s="2"/>
    </row>
    <row r="1601" spans="4:5" x14ac:dyDescent="0.25">
      <c r="D1601" s="2"/>
      <c r="E1601" s="2"/>
    </row>
    <row r="1602" spans="4:5" x14ac:dyDescent="0.25">
      <c r="D1602" s="2"/>
      <c r="E1602" s="2"/>
    </row>
    <row r="1603" spans="4:5" x14ac:dyDescent="0.25">
      <c r="D1603" s="2"/>
      <c r="E1603" s="2"/>
    </row>
    <row r="1604" spans="4:5" x14ac:dyDescent="0.25">
      <c r="D1604" s="2"/>
      <c r="E1604" s="2"/>
    </row>
    <row r="1605" spans="4:5" x14ac:dyDescent="0.25">
      <c r="D1605" s="2"/>
      <c r="E1605" s="2"/>
    </row>
    <row r="1606" spans="4:5" x14ac:dyDescent="0.25">
      <c r="D1606" s="2"/>
      <c r="E1606" s="2"/>
    </row>
    <row r="1607" spans="4:5" x14ac:dyDescent="0.25">
      <c r="D1607" s="2"/>
      <c r="E1607" s="2"/>
    </row>
    <row r="1608" spans="4:5" x14ac:dyDescent="0.25">
      <c r="D1608" s="2"/>
      <c r="E1608" s="2"/>
    </row>
    <row r="1609" spans="4:5" x14ac:dyDescent="0.25">
      <c r="D1609" s="2"/>
      <c r="E1609" s="2"/>
    </row>
    <row r="1610" spans="4:5" x14ac:dyDescent="0.25">
      <c r="D1610" s="2"/>
      <c r="E1610" s="2"/>
    </row>
    <row r="1611" spans="4:5" x14ac:dyDescent="0.25">
      <c r="D1611" s="2"/>
      <c r="E1611" s="2"/>
    </row>
    <row r="1612" spans="4:5" x14ac:dyDescent="0.25">
      <c r="D1612" s="2"/>
      <c r="E1612" s="2"/>
    </row>
    <row r="1613" spans="4:5" x14ac:dyDescent="0.25">
      <c r="D1613" s="2"/>
      <c r="E1613" s="2"/>
    </row>
    <row r="1614" spans="4:5" x14ac:dyDescent="0.25">
      <c r="D1614" s="2"/>
      <c r="E1614" s="2"/>
    </row>
    <row r="1615" spans="4:5" x14ac:dyDescent="0.25">
      <c r="D1615" s="2"/>
      <c r="E1615" s="2"/>
    </row>
    <row r="1616" spans="4:5" x14ac:dyDescent="0.25">
      <c r="D1616" s="2"/>
      <c r="E1616" s="2"/>
    </row>
    <row r="1617" spans="4:5" x14ac:dyDescent="0.25">
      <c r="D1617" s="2"/>
      <c r="E1617" s="2"/>
    </row>
    <row r="1618" spans="4:5" x14ac:dyDescent="0.25">
      <c r="D1618" s="2"/>
      <c r="E1618" s="2"/>
    </row>
    <row r="1619" spans="4:5" x14ac:dyDescent="0.25">
      <c r="D1619" s="2"/>
      <c r="E1619" s="2"/>
    </row>
    <row r="1620" spans="4:5" x14ac:dyDescent="0.25">
      <c r="D1620" s="2"/>
      <c r="E1620" s="2"/>
    </row>
    <row r="1621" spans="4:5" x14ac:dyDescent="0.25">
      <c r="D1621" s="2"/>
      <c r="E1621" s="2"/>
    </row>
    <row r="1622" spans="4:5" x14ac:dyDescent="0.25">
      <c r="D1622" s="2"/>
      <c r="E1622" s="2"/>
    </row>
    <row r="1623" spans="4:5" x14ac:dyDescent="0.25">
      <c r="D1623" s="2"/>
      <c r="E1623" s="2"/>
    </row>
    <row r="1624" spans="4:5" x14ac:dyDescent="0.25">
      <c r="D1624" s="2"/>
      <c r="E1624" s="2"/>
    </row>
    <row r="1625" spans="4:5" x14ac:dyDescent="0.25">
      <c r="D1625" s="2"/>
      <c r="E1625" s="2"/>
    </row>
    <row r="1626" spans="4:5" x14ac:dyDescent="0.25">
      <c r="D1626" s="2"/>
      <c r="E1626" s="2"/>
    </row>
    <row r="1627" spans="4:5" x14ac:dyDescent="0.25">
      <c r="D1627" s="2"/>
      <c r="E1627" s="2"/>
    </row>
    <row r="1628" spans="4:5" x14ac:dyDescent="0.25">
      <c r="D1628" s="2"/>
      <c r="E1628" s="2"/>
    </row>
    <row r="1629" spans="4:5" x14ac:dyDescent="0.25">
      <c r="D1629" s="2"/>
      <c r="E1629" s="2"/>
    </row>
    <row r="1630" spans="4:5" x14ac:dyDescent="0.25">
      <c r="D1630" s="2"/>
      <c r="E1630" s="2"/>
    </row>
    <row r="1631" spans="4:5" x14ac:dyDescent="0.25">
      <c r="D1631" s="2"/>
      <c r="E1631" s="2"/>
    </row>
    <row r="1632" spans="4:5" x14ac:dyDescent="0.25">
      <c r="D1632" s="2"/>
      <c r="E1632" s="2"/>
    </row>
    <row r="1633" spans="4:5" x14ac:dyDescent="0.25">
      <c r="D1633" s="2"/>
      <c r="E1633" s="2"/>
    </row>
    <row r="1634" spans="4:5" x14ac:dyDescent="0.25">
      <c r="D1634" s="2"/>
      <c r="E1634" s="2"/>
    </row>
    <row r="1635" spans="4:5" x14ac:dyDescent="0.25">
      <c r="D1635" s="2"/>
      <c r="E1635" s="2"/>
    </row>
    <row r="1636" spans="4:5" x14ac:dyDescent="0.25">
      <c r="D1636" s="2"/>
      <c r="E1636" s="2"/>
    </row>
    <row r="1637" spans="4:5" x14ac:dyDescent="0.25">
      <c r="D1637" s="2"/>
      <c r="E1637" s="2"/>
    </row>
    <row r="1638" spans="4:5" x14ac:dyDescent="0.25">
      <c r="D1638" s="2"/>
      <c r="E1638" s="2"/>
    </row>
    <row r="1639" spans="4:5" x14ac:dyDescent="0.25">
      <c r="D1639" s="2"/>
      <c r="E1639" s="2"/>
    </row>
    <row r="1640" spans="4:5" x14ac:dyDescent="0.25">
      <c r="D1640" s="2"/>
      <c r="E1640" s="2"/>
    </row>
    <row r="1641" spans="4:5" x14ac:dyDescent="0.25">
      <c r="D1641" s="2"/>
      <c r="E1641" s="2"/>
    </row>
    <row r="1642" spans="4:5" x14ac:dyDescent="0.25">
      <c r="D1642" s="2"/>
      <c r="E1642" s="2"/>
    </row>
    <row r="1643" spans="4:5" x14ac:dyDescent="0.25">
      <c r="D1643" s="2"/>
      <c r="E1643" s="2"/>
    </row>
    <row r="1644" spans="4:5" x14ac:dyDescent="0.25">
      <c r="D1644" s="2"/>
      <c r="E1644" s="2"/>
    </row>
    <row r="1645" spans="4:5" x14ac:dyDescent="0.25">
      <c r="D1645" s="2"/>
      <c r="E1645" s="2"/>
    </row>
    <row r="1646" spans="4:5" x14ac:dyDescent="0.25">
      <c r="D1646" s="2"/>
      <c r="E1646" s="2"/>
    </row>
    <row r="1647" spans="4:5" x14ac:dyDescent="0.25">
      <c r="D1647" s="2"/>
      <c r="E1647" s="2"/>
    </row>
    <row r="1648" spans="4:5" x14ac:dyDescent="0.25">
      <c r="D1648" s="2"/>
      <c r="E1648" s="2"/>
    </row>
    <row r="1649" spans="4:5" x14ac:dyDescent="0.25">
      <c r="D1649" s="2"/>
      <c r="E1649" s="2"/>
    </row>
    <row r="1650" spans="4:5" x14ac:dyDescent="0.25">
      <c r="D1650" s="2"/>
      <c r="E1650" s="2"/>
    </row>
    <row r="1651" spans="4:5" x14ac:dyDescent="0.25">
      <c r="D1651" s="2"/>
      <c r="E1651" s="2"/>
    </row>
    <row r="1652" spans="4:5" x14ac:dyDescent="0.25">
      <c r="D1652" s="2"/>
      <c r="E1652" s="2"/>
    </row>
    <row r="1653" spans="4:5" x14ac:dyDescent="0.25">
      <c r="D1653" s="2"/>
      <c r="E1653" s="2"/>
    </row>
    <row r="1654" spans="4:5" x14ac:dyDescent="0.25">
      <c r="D1654" s="2"/>
      <c r="E1654" s="2"/>
    </row>
    <row r="1655" spans="4:5" x14ac:dyDescent="0.25">
      <c r="D1655" s="2"/>
      <c r="E1655" s="2"/>
    </row>
    <row r="1656" spans="4:5" x14ac:dyDescent="0.25">
      <c r="D1656" s="2"/>
      <c r="E1656" s="2"/>
    </row>
    <row r="1657" spans="4:5" x14ac:dyDescent="0.25">
      <c r="D1657" s="2"/>
      <c r="E1657" s="2"/>
    </row>
    <row r="1658" spans="4:5" x14ac:dyDescent="0.25">
      <c r="D1658" s="2"/>
      <c r="E1658" s="2"/>
    </row>
    <row r="1659" spans="4:5" x14ac:dyDescent="0.25">
      <c r="D1659" s="2"/>
      <c r="E1659" s="2"/>
    </row>
    <row r="1660" spans="4:5" x14ac:dyDescent="0.25">
      <c r="D1660" s="2"/>
      <c r="E1660" s="2"/>
    </row>
    <row r="1661" spans="4:5" x14ac:dyDescent="0.25">
      <c r="D1661" s="2"/>
      <c r="E1661" s="2"/>
    </row>
    <row r="1662" spans="4:5" x14ac:dyDescent="0.25">
      <c r="D1662" s="2"/>
      <c r="E1662" s="2"/>
    </row>
    <row r="1663" spans="4:5" x14ac:dyDescent="0.25">
      <c r="D1663" s="2"/>
      <c r="E1663" s="2"/>
    </row>
    <row r="1664" spans="4:5" x14ac:dyDescent="0.25">
      <c r="D1664" s="2"/>
      <c r="E1664" s="2"/>
    </row>
    <row r="1665" spans="4:5" x14ac:dyDescent="0.25">
      <c r="D1665" s="2"/>
      <c r="E1665" s="2"/>
    </row>
    <row r="1666" spans="4:5" x14ac:dyDescent="0.25">
      <c r="D1666" s="2"/>
      <c r="E1666" s="2"/>
    </row>
    <row r="1667" spans="4:5" x14ac:dyDescent="0.25">
      <c r="D1667" s="2"/>
      <c r="E1667" s="2"/>
    </row>
    <row r="1668" spans="4:5" x14ac:dyDescent="0.25">
      <c r="D1668" s="2"/>
      <c r="E1668" s="2"/>
    </row>
    <row r="1669" spans="4:5" x14ac:dyDescent="0.25">
      <c r="D1669" s="2"/>
      <c r="E1669" s="2"/>
    </row>
    <row r="1670" spans="4:5" x14ac:dyDescent="0.25">
      <c r="D1670" s="2"/>
      <c r="E1670" s="2"/>
    </row>
    <row r="1671" spans="4:5" x14ac:dyDescent="0.25">
      <c r="D1671" s="2"/>
      <c r="E1671" s="2"/>
    </row>
    <row r="1672" spans="4:5" x14ac:dyDescent="0.25">
      <c r="D1672" s="2"/>
      <c r="E1672" s="2"/>
    </row>
    <row r="1673" spans="4:5" x14ac:dyDescent="0.25">
      <c r="D1673" s="2"/>
      <c r="E1673" s="2"/>
    </row>
    <row r="1674" spans="4:5" x14ac:dyDescent="0.25">
      <c r="D1674" s="2"/>
      <c r="E1674" s="2"/>
    </row>
    <row r="1675" spans="4:5" x14ac:dyDescent="0.25">
      <c r="D1675" s="2"/>
      <c r="E1675" s="2"/>
    </row>
    <row r="1676" spans="4:5" x14ac:dyDescent="0.25">
      <c r="D1676" s="2"/>
      <c r="E1676" s="2"/>
    </row>
    <row r="1677" spans="4:5" x14ac:dyDescent="0.25">
      <c r="D1677" s="2"/>
      <c r="E1677" s="2"/>
    </row>
    <row r="1678" spans="4:5" x14ac:dyDescent="0.25">
      <c r="D1678" s="2"/>
      <c r="E1678" s="2"/>
    </row>
    <row r="1679" spans="4:5" x14ac:dyDescent="0.25">
      <c r="D1679" s="2"/>
      <c r="E1679" s="2"/>
    </row>
    <row r="1680" spans="4:5" x14ac:dyDescent="0.25">
      <c r="D1680" s="2"/>
      <c r="E1680" s="2"/>
    </row>
    <row r="1681" spans="4:5" x14ac:dyDescent="0.25">
      <c r="D1681" s="2"/>
      <c r="E1681" s="2"/>
    </row>
    <row r="1682" spans="4:5" x14ac:dyDescent="0.25">
      <c r="D1682" s="2"/>
      <c r="E1682" s="2"/>
    </row>
    <row r="1683" spans="4:5" x14ac:dyDescent="0.25">
      <c r="D1683" s="2"/>
      <c r="E1683" s="2"/>
    </row>
    <row r="1684" spans="4:5" x14ac:dyDescent="0.25">
      <c r="D1684" s="2"/>
      <c r="E1684" s="2"/>
    </row>
    <row r="1685" spans="4:5" x14ac:dyDescent="0.25">
      <c r="D1685" s="2"/>
      <c r="E1685" s="2"/>
    </row>
    <row r="1686" spans="4:5" x14ac:dyDescent="0.25">
      <c r="D1686" s="2"/>
      <c r="E1686" s="2"/>
    </row>
    <row r="1687" spans="4:5" x14ac:dyDescent="0.25">
      <c r="D1687" s="2"/>
      <c r="E1687" s="2"/>
    </row>
    <row r="1688" spans="4:5" x14ac:dyDescent="0.25">
      <c r="D1688" s="2"/>
      <c r="E1688" s="2"/>
    </row>
    <row r="1689" spans="4:5" x14ac:dyDescent="0.25">
      <c r="D1689" s="2"/>
      <c r="E1689" s="2"/>
    </row>
    <row r="1690" spans="4:5" x14ac:dyDescent="0.25">
      <c r="D1690" s="2"/>
      <c r="E1690" s="2"/>
    </row>
    <row r="1691" spans="4:5" x14ac:dyDescent="0.25">
      <c r="D1691" s="2"/>
      <c r="E1691" s="2"/>
    </row>
    <row r="1692" spans="4:5" x14ac:dyDescent="0.25">
      <c r="D1692" s="2"/>
      <c r="E1692" s="2"/>
    </row>
    <row r="1693" spans="4:5" x14ac:dyDescent="0.25">
      <c r="D1693" s="2"/>
      <c r="E1693" s="2"/>
    </row>
    <row r="1694" spans="4:5" x14ac:dyDescent="0.25">
      <c r="D1694" s="2"/>
      <c r="E1694" s="2"/>
    </row>
    <row r="1695" spans="4:5" x14ac:dyDescent="0.25">
      <c r="D1695" s="2"/>
      <c r="E1695" s="2"/>
    </row>
    <row r="1696" spans="4:5" x14ac:dyDescent="0.25">
      <c r="D1696" s="2"/>
      <c r="E1696" s="2"/>
    </row>
    <row r="1697" spans="4:5" x14ac:dyDescent="0.25">
      <c r="D1697" s="2"/>
      <c r="E1697" s="2"/>
    </row>
    <row r="1698" spans="4:5" x14ac:dyDescent="0.25">
      <c r="D1698" s="2"/>
      <c r="E1698" s="2"/>
    </row>
    <row r="1699" spans="4:5" x14ac:dyDescent="0.25">
      <c r="D1699" s="2"/>
      <c r="E1699" s="2"/>
    </row>
    <row r="1700" spans="4:5" x14ac:dyDescent="0.25">
      <c r="D1700" s="2"/>
      <c r="E1700" s="2"/>
    </row>
    <row r="1701" spans="4:5" x14ac:dyDescent="0.25">
      <c r="D1701" s="2"/>
      <c r="E1701" s="2"/>
    </row>
    <row r="1702" spans="4:5" x14ac:dyDescent="0.25">
      <c r="D1702" s="2"/>
      <c r="E1702" s="2"/>
    </row>
    <row r="1703" spans="4:5" x14ac:dyDescent="0.25">
      <c r="D1703" s="2"/>
      <c r="E1703" s="2"/>
    </row>
    <row r="1704" spans="4:5" x14ac:dyDescent="0.25">
      <c r="D1704" s="2"/>
      <c r="E1704" s="2"/>
    </row>
    <row r="1705" spans="4:5" x14ac:dyDescent="0.25">
      <c r="D1705" s="2"/>
      <c r="E1705" s="2"/>
    </row>
    <row r="1706" spans="4:5" x14ac:dyDescent="0.25">
      <c r="D1706" s="2"/>
      <c r="E1706" s="2"/>
    </row>
    <row r="1707" spans="4:5" x14ac:dyDescent="0.25">
      <c r="D1707" s="2"/>
      <c r="E1707" s="2"/>
    </row>
    <row r="1708" spans="4:5" x14ac:dyDescent="0.25">
      <c r="D1708" s="2"/>
      <c r="E1708" s="2"/>
    </row>
    <row r="1709" spans="4:5" x14ac:dyDescent="0.25">
      <c r="D1709" s="2"/>
      <c r="E1709" s="2"/>
    </row>
    <row r="1710" spans="4:5" x14ac:dyDescent="0.25">
      <c r="D1710" s="2"/>
      <c r="E1710" s="2"/>
    </row>
    <row r="1711" spans="4:5" x14ac:dyDescent="0.25">
      <c r="D1711" s="2"/>
      <c r="E1711" s="2"/>
    </row>
    <row r="1712" spans="4:5" x14ac:dyDescent="0.25">
      <c r="D1712" s="2"/>
      <c r="E1712" s="2"/>
    </row>
    <row r="1713" spans="4:5" x14ac:dyDescent="0.25">
      <c r="D1713" s="2"/>
      <c r="E1713" s="2"/>
    </row>
    <row r="1714" spans="4:5" x14ac:dyDescent="0.25">
      <c r="D1714" s="2"/>
      <c r="E1714" s="2"/>
    </row>
    <row r="1715" spans="4:5" x14ac:dyDescent="0.25">
      <c r="D1715" s="2"/>
      <c r="E1715" s="2"/>
    </row>
    <row r="1716" spans="4:5" x14ac:dyDescent="0.25">
      <c r="D1716" s="2"/>
      <c r="E1716" s="2"/>
    </row>
    <row r="1717" spans="4:5" x14ac:dyDescent="0.25">
      <c r="D1717" s="2"/>
      <c r="E1717" s="2"/>
    </row>
    <row r="1718" spans="4:5" x14ac:dyDescent="0.25">
      <c r="D1718" s="2"/>
      <c r="E1718" s="2"/>
    </row>
    <row r="1719" spans="4:5" x14ac:dyDescent="0.25">
      <c r="D1719" s="2"/>
      <c r="E1719" s="2"/>
    </row>
    <row r="1720" spans="4:5" x14ac:dyDescent="0.25">
      <c r="D1720" s="2"/>
      <c r="E1720" s="2"/>
    </row>
    <row r="1721" spans="4:5" x14ac:dyDescent="0.25">
      <c r="D1721" s="2"/>
      <c r="E1721" s="2"/>
    </row>
    <row r="1722" spans="4:5" x14ac:dyDescent="0.25">
      <c r="D1722" s="2"/>
      <c r="E1722" s="2"/>
    </row>
    <row r="1723" spans="4:5" x14ac:dyDescent="0.25">
      <c r="D1723" s="2"/>
      <c r="E1723" s="2"/>
    </row>
    <row r="1724" spans="4:5" x14ac:dyDescent="0.25">
      <c r="D1724" s="2"/>
      <c r="E1724" s="2"/>
    </row>
    <row r="1725" spans="4:5" x14ac:dyDescent="0.25">
      <c r="D1725" s="2"/>
      <c r="E1725" s="2"/>
    </row>
    <row r="1726" spans="4:5" x14ac:dyDescent="0.25">
      <c r="D1726" s="2"/>
      <c r="E1726" s="2"/>
    </row>
    <row r="1727" spans="4:5" x14ac:dyDescent="0.25">
      <c r="D1727" s="2"/>
      <c r="E1727" s="2"/>
    </row>
    <row r="1728" spans="4:5" x14ac:dyDescent="0.25">
      <c r="D1728" s="2"/>
      <c r="E1728" s="2"/>
    </row>
    <row r="1729" spans="4:5" x14ac:dyDescent="0.25">
      <c r="D1729" s="2"/>
      <c r="E1729" s="2"/>
    </row>
    <row r="1730" spans="4:5" x14ac:dyDescent="0.25">
      <c r="D1730" s="2"/>
      <c r="E1730" s="2"/>
    </row>
    <row r="1731" spans="4:5" x14ac:dyDescent="0.25">
      <c r="D1731" s="2"/>
      <c r="E1731" s="2"/>
    </row>
    <row r="1732" spans="4:5" x14ac:dyDescent="0.25">
      <c r="D1732" s="2"/>
      <c r="E1732" s="2"/>
    </row>
    <row r="1733" spans="4:5" x14ac:dyDescent="0.25">
      <c r="D1733" s="2"/>
      <c r="E1733" s="2"/>
    </row>
    <row r="1734" spans="4:5" x14ac:dyDescent="0.25">
      <c r="D1734" s="2"/>
      <c r="E1734" s="2"/>
    </row>
    <row r="1735" spans="4:5" x14ac:dyDescent="0.25">
      <c r="D1735" s="2"/>
      <c r="E1735" s="2"/>
    </row>
    <row r="1736" spans="4:5" x14ac:dyDescent="0.25">
      <c r="D1736" s="2"/>
      <c r="E1736" s="2"/>
    </row>
    <row r="1737" spans="4:5" x14ac:dyDescent="0.25">
      <c r="D1737" s="2"/>
      <c r="E1737" s="2"/>
    </row>
    <row r="1738" spans="4:5" x14ac:dyDescent="0.25">
      <c r="D1738" s="2"/>
      <c r="E1738" s="2"/>
    </row>
    <row r="1739" spans="4:5" x14ac:dyDescent="0.25">
      <c r="D1739" s="2"/>
      <c r="E1739" s="2"/>
    </row>
    <row r="1740" spans="4:5" x14ac:dyDescent="0.25">
      <c r="D1740" s="2"/>
      <c r="E1740" s="2"/>
    </row>
    <row r="1741" spans="4:5" x14ac:dyDescent="0.25">
      <c r="D1741" s="2"/>
      <c r="E1741" s="2"/>
    </row>
    <row r="1742" spans="4:5" x14ac:dyDescent="0.25">
      <c r="D1742" s="2"/>
      <c r="E1742" s="2"/>
    </row>
    <row r="1743" spans="4:5" x14ac:dyDescent="0.25">
      <c r="D1743" s="2"/>
      <c r="E1743" s="2"/>
    </row>
    <row r="1744" spans="4:5" x14ac:dyDescent="0.25">
      <c r="D1744" s="2"/>
      <c r="E1744" s="2"/>
    </row>
    <row r="1745" spans="4:5" x14ac:dyDescent="0.25">
      <c r="D1745" s="2"/>
      <c r="E1745" s="2"/>
    </row>
    <row r="1746" spans="4:5" x14ac:dyDescent="0.25">
      <c r="D1746" s="2"/>
      <c r="E1746" s="2"/>
    </row>
    <row r="1747" spans="4:5" x14ac:dyDescent="0.25">
      <c r="D1747" s="2"/>
      <c r="E1747" s="2"/>
    </row>
    <row r="1748" spans="4:5" x14ac:dyDescent="0.25">
      <c r="D1748" s="2"/>
      <c r="E1748" s="2"/>
    </row>
    <row r="1749" spans="4:5" x14ac:dyDescent="0.25">
      <c r="D1749" s="2"/>
      <c r="E1749" s="2"/>
    </row>
    <row r="1750" spans="4:5" x14ac:dyDescent="0.25">
      <c r="D1750" s="2"/>
      <c r="E1750" s="2"/>
    </row>
    <row r="1751" spans="4:5" x14ac:dyDescent="0.25">
      <c r="D1751" s="2"/>
      <c r="E1751" s="2"/>
    </row>
    <row r="1752" spans="4:5" x14ac:dyDescent="0.25">
      <c r="D1752" s="2"/>
      <c r="E1752" s="2"/>
    </row>
    <row r="1753" spans="4:5" x14ac:dyDescent="0.25">
      <c r="D1753" s="2"/>
      <c r="E1753" s="2"/>
    </row>
    <row r="1754" spans="4:5" x14ac:dyDescent="0.25">
      <c r="D1754" s="2"/>
      <c r="E1754" s="2"/>
    </row>
    <row r="1755" spans="4:5" x14ac:dyDescent="0.25">
      <c r="D1755" s="2"/>
      <c r="E1755" s="2"/>
    </row>
    <row r="1756" spans="4:5" x14ac:dyDescent="0.25">
      <c r="D1756" s="2"/>
      <c r="E1756" s="2"/>
    </row>
    <row r="1757" spans="4:5" x14ac:dyDescent="0.25">
      <c r="D1757" s="2"/>
      <c r="E1757" s="2"/>
    </row>
    <row r="1758" spans="4:5" x14ac:dyDescent="0.25">
      <c r="D1758" s="2"/>
      <c r="E1758" s="2"/>
    </row>
    <row r="1759" spans="4:5" x14ac:dyDescent="0.25">
      <c r="D1759" s="2"/>
      <c r="E1759" s="2"/>
    </row>
    <row r="1760" spans="4:5" x14ac:dyDescent="0.25">
      <c r="D1760" s="2"/>
      <c r="E1760" s="2"/>
    </row>
    <row r="1761" spans="4:5" x14ac:dyDescent="0.25">
      <c r="D1761" s="2"/>
      <c r="E1761" s="2"/>
    </row>
    <row r="1762" spans="4:5" x14ac:dyDescent="0.25">
      <c r="D1762" s="2"/>
      <c r="E1762" s="2"/>
    </row>
    <row r="1763" spans="4:5" x14ac:dyDescent="0.25">
      <c r="D1763" s="2"/>
      <c r="E1763" s="2"/>
    </row>
    <row r="1764" spans="4:5" x14ac:dyDescent="0.25">
      <c r="D1764" s="2"/>
      <c r="E1764" s="2"/>
    </row>
    <row r="1765" spans="4:5" x14ac:dyDescent="0.25">
      <c r="D1765" s="2"/>
      <c r="E1765" s="2"/>
    </row>
    <row r="1766" spans="4:5" x14ac:dyDescent="0.25">
      <c r="D1766" s="2"/>
      <c r="E1766" s="2"/>
    </row>
    <row r="1767" spans="4:5" x14ac:dyDescent="0.25">
      <c r="D1767" s="2"/>
      <c r="E1767" s="2"/>
    </row>
    <row r="1768" spans="4:5" x14ac:dyDescent="0.25">
      <c r="D1768" s="2"/>
      <c r="E1768" s="2"/>
    </row>
    <row r="1769" spans="4:5" x14ac:dyDescent="0.25">
      <c r="D1769" s="2"/>
      <c r="E1769" s="2"/>
    </row>
    <row r="1770" spans="4:5" x14ac:dyDescent="0.25">
      <c r="D1770" s="2"/>
      <c r="E1770" s="2"/>
    </row>
    <row r="1771" spans="4:5" x14ac:dyDescent="0.25">
      <c r="D1771" s="2"/>
      <c r="E1771" s="2"/>
    </row>
    <row r="1772" spans="4:5" x14ac:dyDescent="0.25">
      <c r="D1772" s="2"/>
      <c r="E1772" s="2"/>
    </row>
    <row r="1773" spans="4:5" x14ac:dyDescent="0.25">
      <c r="D1773" s="2"/>
      <c r="E1773" s="2"/>
    </row>
    <row r="1774" spans="4:5" x14ac:dyDescent="0.25">
      <c r="D1774" s="2"/>
      <c r="E1774" s="2"/>
    </row>
    <row r="1775" spans="4:5" x14ac:dyDescent="0.25">
      <c r="D1775" s="2"/>
      <c r="E1775" s="2"/>
    </row>
    <row r="1776" spans="4:5" x14ac:dyDescent="0.25">
      <c r="D1776" s="2"/>
      <c r="E1776" s="2"/>
    </row>
    <row r="1777" spans="4:5" x14ac:dyDescent="0.25">
      <c r="D1777" s="2"/>
      <c r="E1777" s="2"/>
    </row>
    <row r="1778" spans="4:5" x14ac:dyDescent="0.25">
      <c r="D1778" s="2"/>
      <c r="E1778" s="2"/>
    </row>
    <row r="1779" spans="4:5" x14ac:dyDescent="0.25">
      <c r="D1779" s="2"/>
      <c r="E1779" s="2"/>
    </row>
    <row r="1780" spans="4:5" x14ac:dyDescent="0.25">
      <c r="D1780" s="2"/>
      <c r="E1780" s="2"/>
    </row>
    <row r="1781" spans="4:5" x14ac:dyDescent="0.25">
      <c r="D1781" s="2"/>
      <c r="E1781" s="2"/>
    </row>
    <row r="1782" spans="4:5" x14ac:dyDescent="0.25">
      <c r="D1782" s="2"/>
      <c r="E1782" s="2"/>
    </row>
    <row r="1783" spans="4:5" x14ac:dyDescent="0.25">
      <c r="D1783" s="2"/>
      <c r="E1783" s="2"/>
    </row>
    <row r="1784" spans="4:5" x14ac:dyDescent="0.25">
      <c r="D1784" s="2"/>
      <c r="E1784" s="2"/>
    </row>
    <row r="1785" spans="4:5" x14ac:dyDescent="0.25">
      <c r="D1785" s="2"/>
      <c r="E1785" s="2"/>
    </row>
    <row r="1786" spans="4:5" x14ac:dyDescent="0.25">
      <c r="D1786" s="2"/>
      <c r="E1786" s="2"/>
    </row>
    <row r="1787" spans="4:5" x14ac:dyDescent="0.25">
      <c r="D1787" s="2"/>
      <c r="E1787" s="2"/>
    </row>
    <row r="1788" spans="4:5" x14ac:dyDescent="0.25">
      <c r="D1788" s="2"/>
      <c r="E1788" s="2"/>
    </row>
    <row r="1789" spans="4:5" x14ac:dyDescent="0.25">
      <c r="D1789" s="2"/>
      <c r="E1789" s="2"/>
    </row>
    <row r="1790" spans="4:5" x14ac:dyDescent="0.25">
      <c r="D1790" s="2"/>
      <c r="E1790" s="2"/>
    </row>
    <row r="1791" spans="4:5" x14ac:dyDescent="0.25">
      <c r="D1791" s="2"/>
      <c r="E1791" s="2"/>
    </row>
    <row r="1792" spans="4:5" x14ac:dyDescent="0.25">
      <c r="D1792" s="2"/>
      <c r="E1792" s="2"/>
    </row>
    <row r="1793" spans="4:5" x14ac:dyDescent="0.25">
      <c r="D1793" s="2"/>
      <c r="E1793" s="2"/>
    </row>
    <row r="1794" spans="4:5" x14ac:dyDescent="0.25">
      <c r="D1794" s="2"/>
      <c r="E1794" s="2"/>
    </row>
    <row r="1795" spans="4:5" x14ac:dyDescent="0.25">
      <c r="D1795" s="2"/>
      <c r="E1795" s="2"/>
    </row>
    <row r="1796" spans="4:5" x14ac:dyDescent="0.25">
      <c r="D1796" s="2"/>
      <c r="E1796" s="2"/>
    </row>
    <row r="1797" spans="4:5" x14ac:dyDescent="0.25">
      <c r="D1797" s="2"/>
      <c r="E1797" s="2"/>
    </row>
    <row r="1798" spans="4:5" x14ac:dyDescent="0.25">
      <c r="D1798" s="2"/>
      <c r="E1798" s="2"/>
    </row>
    <row r="1799" spans="4:5" x14ac:dyDescent="0.25">
      <c r="D1799" s="2"/>
      <c r="E1799" s="2"/>
    </row>
    <row r="1800" spans="4:5" x14ac:dyDescent="0.25">
      <c r="D1800" s="2"/>
      <c r="E1800" s="2"/>
    </row>
    <row r="1801" spans="4:5" x14ac:dyDescent="0.25">
      <c r="D1801" s="2"/>
      <c r="E1801" s="2"/>
    </row>
    <row r="1802" spans="4:5" x14ac:dyDescent="0.25">
      <c r="D1802" s="2"/>
      <c r="E1802" s="2"/>
    </row>
    <row r="1803" spans="4:5" x14ac:dyDescent="0.25">
      <c r="D1803" s="2"/>
      <c r="E1803" s="2"/>
    </row>
    <row r="1804" spans="4:5" x14ac:dyDescent="0.25">
      <c r="D1804" s="2"/>
      <c r="E1804" s="2"/>
    </row>
    <row r="1805" spans="4:5" x14ac:dyDescent="0.25">
      <c r="D1805" s="2"/>
      <c r="E1805" s="2"/>
    </row>
    <row r="1806" spans="4:5" x14ac:dyDescent="0.25">
      <c r="D1806" s="2"/>
      <c r="E1806" s="2"/>
    </row>
    <row r="1807" spans="4:5" x14ac:dyDescent="0.25">
      <c r="D1807" s="2"/>
      <c r="E1807" s="2"/>
    </row>
    <row r="1808" spans="4:5" x14ac:dyDescent="0.25">
      <c r="D1808" s="2"/>
      <c r="E1808" s="2"/>
    </row>
    <row r="1809" spans="4:5" x14ac:dyDescent="0.25">
      <c r="D1809" s="2"/>
      <c r="E1809" s="2"/>
    </row>
    <row r="1810" spans="4:5" x14ac:dyDescent="0.25">
      <c r="D1810" s="2"/>
      <c r="E1810" s="2"/>
    </row>
    <row r="1811" spans="4:5" x14ac:dyDescent="0.25">
      <c r="D1811" s="2"/>
      <c r="E1811" s="2"/>
    </row>
    <row r="1812" spans="4:5" x14ac:dyDescent="0.25">
      <c r="D1812" s="2"/>
      <c r="E1812" s="2"/>
    </row>
    <row r="1813" spans="4:5" x14ac:dyDescent="0.25">
      <c r="D1813" s="2"/>
      <c r="E1813" s="2"/>
    </row>
    <row r="1814" spans="4:5" x14ac:dyDescent="0.25">
      <c r="D1814" s="2"/>
      <c r="E1814" s="2"/>
    </row>
    <row r="1815" spans="4:5" x14ac:dyDescent="0.25">
      <c r="D1815" s="2"/>
      <c r="E1815" s="2"/>
    </row>
    <row r="1816" spans="4:5" x14ac:dyDescent="0.25">
      <c r="D1816" s="2"/>
      <c r="E1816" s="2"/>
    </row>
    <row r="1817" spans="4:5" x14ac:dyDescent="0.25">
      <c r="D1817" s="2"/>
      <c r="E1817" s="2"/>
    </row>
    <row r="1818" spans="4:5" x14ac:dyDescent="0.25">
      <c r="D1818" s="2"/>
      <c r="E1818" s="2"/>
    </row>
    <row r="1819" spans="4:5" x14ac:dyDescent="0.25">
      <c r="D1819" s="2"/>
      <c r="E1819" s="2"/>
    </row>
    <row r="1820" spans="4:5" x14ac:dyDescent="0.25">
      <c r="D1820" s="2"/>
      <c r="E1820" s="2"/>
    </row>
    <row r="1821" spans="4:5" x14ac:dyDescent="0.25">
      <c r="D1821" s="2"/>
      <c r="E1821" s="2"/>
    </row>
    <row r="1822" spans="4:5" x14ac:dyDescent="0.25">
      <c r="D1822" s="2"/>
      <c r="E1822" s="2"/>
    </row>
    <row r="1823" spans="4:5" x14ac:dyDescent="0.25">
      <c r="D1823" s="2"/>
      <c r="E1823" s="2"/>
    </row>
    <row r="1824" spans="4:5" x14ac:dyDescent="0.25">
      <c r="D1824" s="2"/>
      <c r="E1824" s="2"/>
    </row>
    <row r="1825" spans="4:5" x14ac:dyDescent="0.25">
      <c r="D1825" s="2"/>
      <c r="E1825" s="2"/>
    </row>
    <row r="1826" spans="4:5" x14ac:dyDescent="0.25">
      <c r="D1826" s="2"/>
      <c r="E1826" s="2"/>
    </row>
    <row r="1827" spans="4:5" x14ac:dyDescent="0.25">
      <c r="D1827" s="2"/>
      <c r="E1827" s="2"/>
    </row>
    <row r="1828" spans="4:5" x14ac:dyDescent="0.25">
      <c r="D1828" s="2"/>
      <c r="E1828" s="2"/>
    </row>
    <row r="1829" spans="4:5" x14ac:dyDescent="0.25">
      <c r="D1829" s="2"/>
      <c r="E1829" s="2"/>
    </row>
    <row r="1830" spans="4:5" x14ac:dyDescent="0.25">
      <c r="D1830" s="2"/>
      <c r="E1830" s="2"/>
    </row>
    <row r="1831" spans="4:5" x14ac:dyDescent="0.25">
      <c r="D1831" s="2"/>
      <c r="E1831" s="2"/>
    </row>
    <row r="1832" spans="4:5" x14ac:dyDescent="0.25">
      <c r="D1832" s="2"/>
      <c r="E1832" s="2"/>
    </row>
    <row r="1833" spans="4:5" x14ac:dyDescent="0.25">
      <c r="D1833" s="2"/>
      <c r="E1833" s="2"/>
    </row>
    <row r="1834" spans="4:5" x14ac:dyDescent="0.25">
      <c r="D1834" s="2"/>
      <c r="E1834" s="2"/>
    </row>
    <row r="1835" spans="4:5" x14ac:dyDescent="0.25">
      <c r="D1835" s="2"/>
      <c r="E1835" s="2"/>
    </row>
    <row r="1836" spans="4:5" x14ac:dyDescent="0.25">
      <c r="D1836" s="2"/>
      <c r="E1836" s="2"/>
    </row>
    <row r="1837" spans="4:5" x14ac:dyDescent="0.25">
      <c r="D1837" s="2"/>
      <c r="E1837" s="2"/>
    </row>
    <row r="1838" spans="4:5" x14ac:dyDescent="0.25">
      <c r="D1838" s="2"/>
      <c r="E1838" s="2"/>
    </row>
    <row r="1839" spans="4:5" x14ac:dyDescent="0.25">
      <c r="D1839" s="2"/>
      <c r="E1839" s="2"/>
    </row>
    <row r="1840" spans="4:5" x14ac:dyDescent="0.25">
      <c r="D1840" s="2"/>
      <c r="E1840" s="2"/>
    </row>
    <row r="1841" spans="4:5" x14ac:dyDescent="0.25">
      <c r="D1841" s="2"/>
      <c r="E1841" s="2"/>
    </row>
    <row r="1842" spans="4:5" x14ac:dyDescent="0.25">
      <c r="D1842" s="2"/>
      <c r="E1842" s="2"/>
    </row>
    <row r="1843" spans="4:5" x14ac:dyDescent="0.25">
      <c r="D1843" s="2"/>
      <c r="E1843" s="2"/>
    </row>
    <row r="1844" spans="4:5" x14ac:dyDescent="0.25">
      <c r="D1844" s="2"/>
      <c r="E1844" s="2"/>
    </row>
    <row r="1845" spans="4:5" x14ac:dyDescent="0.25">
      <c r="D1845" s="2"/>
      <c r="E1845" s="2"/>
    </row>
    <row r="1846" spans="4:5" x14ac:dyDescent="0.25">
      <c r="D1846" s="2"/>
      <c r="E1846" s="2"/>
    </row>
    <row r="1847" spans="4:5" x14ac:dyDescent="0.25">
      <c r="D1847" s="2"/>
      <c r="E1847" s="2"/>
    </row>
    <row r="1848" spans="4:5" x14ac:dyDescent="0.25">
      <c r="D1848" s="2"/>
      <c r="E1848" s="2"/>
    </row>
    <row r="1849" spans="4:5" x14ac:dyDescent="0.25">
      <c r="D1849" s="2"/>
      <c r="E1849" s="2"/>
    </row>
    <row r="1850" spans="4:5" x14ac:dyDescent="0.25">
      <c r="D1850" s="2"/>
      <c r="E1850" s="2"/>
    </row>
    <row r="1851" spans="4:5" x14ac:dyDescent="0.25">
      <c r="D1851" s="2"/>
      <c r="E1851" s="2"/>
    </row>
    <row r="1852" spans="4:5" x14ac:dyDescent="0.25">
      <c r="D1852" s="2"/>
      <c r="E1852" s="2"/>
    </row>
    <row r="1853" spans="4:5" x14ac:dyDescent="0.25">
      <c r="D1853" s="2"/>
      <c r="E1853" s="2"/>
    </row>
    <row r="1854" spans="4:5" x14ac:dyDescent="0.25">
      <c r="D1854" s="2"/>
      <c r="E1854" s="2"/>
    </row>
    <row r="1855" spans="4:5" x14ac:dyDescent="0.25">
      <c r="D1855" s="2"/>
      <c r="E1855" s="2"/>
    </row>
    <row r="1856" spans="4:5" x14ac:dyDescent="0.25">
      <c r="D1856" s="2"/>
      <c r="E1856" s="2"/>
    </row>
    <row r="1857" spans="4:5" x14ac:dyDescent="0.25">
      <c r="D1857" s="2"/>
      <c r="E1857" s="2"/>
    </row>
    <row r="1858" spans="4:5" x14ac:dyDescent="0.25">
      <c r="D1858" s="2"/>
      <c r="E1858" s="2"/>
    </row>
    <row r="1859" spans="4:5" x14ac:dyDescent="0.25">
      <c r="D1859" s="2"/>
      <c r="E1859" s="2"/>
    </row>
    <row r="1860" spans="4:5" x14ac:dyDescent="0.25">
      <c r="D1860" s="2"/>
      <c r="E1860" s="2"/>
    </row>
    <row r="1861" spans="4:5" x14ac:dyDescent="0.25">
      <c r="D1861" s="2"/>
      <c r="E1861" s="2"/>
    </row>
    <row r="1862" spans="4:5" x14ac:dyDescent="0.25">
      <c r="D1862" s="2"/>
      <c r="E1862" s="2"/>
    </row>
    <row r="1863" spans="4:5" x14ac:dyDescent="0.25">
      <c r="D1863" s="2"/>
      <c r="E1863" s="2"/>
    </row>
    <row r="1864" spans="4:5" x14ac:dyDescent="0.25">
      <c r="D1864" s="2"/>
      <c r="E1864" s="2"/>
    </row>
    <row r="1865" spans="4:5" x14ac:dyDescent="0.25">
      <c r="D1865" s="2"/>
      <c r="E1865" s="2"/>
    </row>
    <row r="1866" spans="4:5" x14ac:dyDescent="0.25">
      <c r="D1866" s="2"/>
      <c r="E1866" s="2"/>
    </row>
    <row r="1867" spans="4:5" x14ac:dyDescent="0.25">
      <c r="D1867" s="2"/>
      <c r="E1867" s="2"/>
    </row>
    <row r="1868" spans="4:5" x14ac:dyDescent="0.25">
      <c r="D1868" s="2"/>
      <c r="E1868" s="2"/>
    </row>
    <row r="1869" spans="4:5" x14ac:dyDescent="0.25">
      <c r="D1869" s="2"/>
      <c r="E1869" s="2"/>
    </row>
    <row r="1870" spans="4:5" x14ac:dyDescent="0.25">
      <c r="D1870" s="2"/>
      <c r="E1870" s="2"/>
    </row>
    <row r="1871" spans="4:5" x14ac:dyDescent="0.25">
      <c r="D1871" s="2"/>
      <c r="E1871" s="2"/>
    </row>
    <row r="1872" spans="4:5" x14ac:dyDescent="0.25">
      <c r="D1872" s="2"/>
      <c r="E1872" s="2"/>
    </row>
    <row r="1873" spans="4:5" x14ac:dyDescent="0.25">
      <c r="D1873" s="2"/>
      <c r="E1873" s="2"/>
    </row>
    <row r="1874" spans="4:5" x14ac:dyDescent="0.25">
      <c r="D1874" s="2"/>
      <c r="E1874" s="2"/>
    </row>
    <row r="1875" spans="4:5" x14ac:dyDescent="0.25">
      <c r="D1875" s="2"/>
      <c r="E1875" s="2"/>
    </row>
    <row r="1876" spans="4:5" x14ac:dyDescent="0.25">
      <c r="D1876" s="2"/>
      <c r="E1876" s="2"/>
    </row>
    <row r="1877" spans="4:5" x14ac:dyDescent="0.25">
      <c r="D1877" s="2"/>
      <c r="E1877" s="2"/>
    </row>
    <row r="1878" spans="4:5" x14ac:dyDescent="0.25">
      <c r="D1878" s="2"/>
      <c r="E1878" s="2"/>
    </row>
    <row r="1879" spans="4:5" x14ac:dyDescent="0.25">
      <c r="D1879" s="2"/>
      <c r="E1879" s="2"/>
    </row>
    <row r="1880" spans="4:5" x14ac:dyDescent="0.25">
      <c r="D1880" s="2"/>
      <c r="E1880" s="2"/>
    </row>
    <row r="1881" spans="4:5" x14ac:dyDescent="0.25">
      <c r="D1881" s="2"/>
      <c r="E1881" s="2"/>
    </row>
    <row r="1882" spans="4:5" x14ac:dyDescent="0.25">
      <c r="D1882" s="2"/>
      <c r="E1882" s="2"/>
    </row>
    <row r="1883" spans="4:5" x14ac:dyDescent="0.25">
      <c r="D1883" s="2"/>
      <c r="E1883" s="2"/>
    </row>
    <row r="1884" spans="4:5" x14ac:dyDescent="0.25">
      <c r="D1884" s="2"/>
      <c r="E1884" s="2"/>
    </row>
    <row r="1885" spans="4:5" x14ac:dyDescent="0.25">
      <c r="D1885" s="2"/>
      <c r="E1885" s="2"/>
    </row>
    <row r="1886" spans="4:5" x14ac:dyDescent="0.25">
      <c r="D1886" s="2"/>
      <c r="E1886" s="2"/>
    </row>
    <row r="1887" spans="4:5" x14ac:dyDescent="0.25">
      <c r="D1887" s="2"/>
      <c r="E1887" s="2"/>
    </row>
    <row r="1888" spans="4:5" x14ac:dyDescent="0.25">
      <c r="D1888" s="2"/>
      <c r="E1888" s="2"/>
    </row>
    <row r="1889" spans="4:5" x14ac:dyDescent="0.25">
      <c r="D1889" s="2"/>
      <c r="E1889" s="2"/>
    </row>
    <row r="1890" spans="4:5" x14ac:dyDescent="0.25">
      <c r="D1890" s="2"/>
      <c r="E1890" s="2"/>
    </row>
    <row r="1891" spans="4:5" x14ac:dyDescent="0.25">
      <c r="D1891" s="2"/>
      <c r="E1891" s="2"/>
    </row>
    <row r="1892" spans="4:5" x14ac:dyDescent="0.25">
      <c r="D1892" s="2"/>
      <c r="E1892" s="2"/>
    </row>
    <row r="1893" spans="4:5" x14ac:dyDescent="0.25">
      <c r="D1893" s="2"/>
      <c r="E1893" s="2"/>
    </row>
    <row r="1894" spans="4:5" x14ac:dyDescent="0.25">
      <c r="D1894" s="2"/>
      <c r="E1894" s="2"/>
    </row>
    <row r="1895" spans="4:5" x14ac:dyDescent="0.25">
      <c r="D1895" s="2"/>
      <c r="E1895" s="2"/>
    </row>
    <row r="1896" spans="4:5" x14ac:dyDescent="0.25">
      <c r="D1896" s="2"/>
      <c r="E1896" s="2"/>
    </row>
    <row r="1897" spans="4:5" x14ac:dyDescent="0.25">
      <c r="D1897" s="2"/>
      <c r="E1897" s="2"/>
    </row>
    <row r="1898" spans="4:5" x14ac:dyDescent="0.25">
      <c r="D1898" s="2"/>
      <c r="E1898" s="2"/>
    </row>
    <row r="1899" spans="4:5" x14ac:dyDescent="0.25">
      <c r="D1899" s="2"/>
      <c r="E1899" s="2"/>
    </row>
    <row r="1900" spans="4:5" x14ac:dyDescent="0.25">
      <c r="D1900" s="2"/>
      <c r="E1900" s="2"/>
    </row>
    <row r="1901" spans="4:5" x14ac:dyDescent="0.25">
      <c r="D1901" s="2"/>
      <c r="E1901" s="2"/>
    </row>
    <row r="1902" spans="4:5" x14ac:dyDescent="0.25">
      <c r="D1902" s="2"/>
      <c r="E1902" s="2"/>
    </row>
    <row r="1903" spans="4:5" x14ac:dyDescent="0.25">
      <c r="D1903" s="2"/>
      <c r="E1903" s="2"/>
    </row>
    <row r="1904" spans="4:5" x14ac:dyDescent="0.25">
      <c r="D1904" s="2"/>
      <c r="E1904" s="2"/>
    </row>
    <row r="1905" spans="4:5" x14ac:dyDescent="0.25">
      <c r="D1905" s="2"/>
      <c r="E1905" s="2"/>
    </row>
    <row r="1906" spans="4:5" x14ac:dyDescent="0.25">
      <c r="D1906" s="2"/>
      <c r="E1906" s="2"/>
    </row>
    <row r="1907" spans="4:5" x14ac:dyDescent="0.25">
      <c r="D1907" s="2"/>
      <c r="E1907" s="2"/>
    </row>
    <row r="1908" spans="4:5" x14ac:dyDescent="0.25">
      <c r="D1908" s="2"/>
      <c r="E1908" s="2"/>
    </row>
    <row r="1909" spans="4:5" x14ac:dyDescent="0.25">
      <c r="D1909" s="2"/>
      <c r="E1909" s="2"/>
    </row>
    <row r="1910" spans="4:5" x14ac:dyDescent="0.25">
      <c r="D1910" s="2"/>
      <c r="E1910" s="2"/>
    </row>
    <row r="1911" spans="4:5" x14ac:dyDescent="0.25">
      <c r="D1911" s="2"/>
      <c r="E1911" s="2"/>
    </row>
    <row r="1912" spans="4:5" x14ac:dyDescent="0.25">
      <c r="D1912" s="2"/>
      <c r="E1912" s="2"/>
    </row>
    <row r="1913" spans="4:5" x14ac:dyDescent="0.25">
      <c r="D1913" s="2"/>
      <c r="E1913" s="2"/>
    </row>
    <row r="1914" spans="4:5" x14ac:dyDescent="0.25">
      <c r="D1914" s="2"/>
      <c r="E1914" s="2"/>
    </row>
    <row r="1915" spans="4:5" x14ac:dyDescent="0.25">
      <c r="D1915" s="2"/>
      <c r="E1915" s="2"/>
    </row>
    <row r="1916" spans="4:5" x14ac:dyDescent="0.25">
      <c r="D1916" s="2"/>
      <c r="E1916" s="2"/>
    </row>
    <row r="1917" spans="4:5" x14ac:dyDescent="0.25">
      <c r="D1917" s="2"/>
      <c r="E1917" s="2"/>
    </row>
    <row r="1918" spans="4:5" x14ac:dyDescent="0.25">
      <c r="D1918" s="2"/>
      <c r="E1918" s="2"/>
    </row>
    <row r="1919" spans="4:5" x14ac:dyDescent="0.25">
      <c r="D1919" s="2"/>
      <c r="E1919" s="2"/>
    </row>
    <row r="1920" spans="4:5" x14ac:dyDescent="0.25">
      <c r="D1920" s="2"/>
      <c r="E1920" s="2"/>
    </row>
    <row r="1921" spans="4:5" x14ac:dyDescent="0.25">
      <c r="D1921" s="2"/>
      <c r="E1921" s="2"/>
    </row>
    <row r="1922" spans="4:5" x14ac:dyDescent="0.25">
      <c r="D1922" s="2"/>
      <c r="E1922" s="2"/>
    </row>
    <row r="1923" spans="4:5" x14ac:dyDescent="0.25">
      <c r="D1923" s="2"/>
      <c r="E1923" s="2"/>
    </row>
    <row r="1924" spans="4:5" x14ac:dyDescent="0.25">
      <c r="D1924" s="2"/>
      <c r="E1924" s="2"/>
    </row>
    <row r="1925" spans="4:5" x14ac:dyDescent="0.25">
      <c r="D1925" s="2"/>
      <c r="E1925" s="2"/>
    </row>
    <row r="1926" spans="4:5" x14ac:dyDescent="0.25">
      <c r="D1926" s="2"/>
      <c r="E1926" s="2"/>
    </row>
    <row r="1927" spans="4:5" x14ac:dyDescent="0.25">
      <c r="D1927" s="2"/>
      <c r="E1927" s="2"/>
    </row>
    <row r="1928" spans="4:5" x14ac:dyDescent="0.25">
      <c r="D1928" s="2"/>
      <c r="E1928" s="2"/>
    </row>
    <row r="1929" spans="4:5" x14ac:dyDescent="0.25">
      <c r="D1929" s="2"/>
      <c r="E1929" s="2"/>
    </row>
    <row r="1930" spans="4:5" x14ac:dyDescent="0.25">
      <c r="D1930" s="2"/>
      <c r="E1930" s="2"/>
    </row>
    <row r="1931" spans="4:5" x14ac:dyDescent="0.25">
      <c r="D1931" s="2"/>
      <c r="E1931" s="2"/>
    </row>
    <row r="1932" spans="4:5" x14ac:dyDescent="0.25">
      <c r="D1932" s="2"/>
      <c r="E1932" s="2"/>
    </row>
    <row r="1933" spans="4:5" x14ac:dyDescent="0.25">
      <c r="D1933" s="2"/>
      <c r="E1933" s="2"/>
    </row>
    <row r="1934" spans="4:5" x14ac:dyDescent="0.25">
      <c r="D1934" s="2"/>
      <c r="E1934" s="2"/>
    </row>
    <row r="1935" spans="4:5" x14ac:dyDescent="0.25">
      <c r="D1935" s="2"/>
      <c r="E1935" s="2"/>
    </row>
    <row r="1936" spans="4:5" x14ac:dyDescent="0.25">
      <c r="D1936" s="2"/>
      <c r="E1936" s="2"/>
    </row>
    <row r="1937" spans="4:5" x14ac:dyDescent="0.25">
      <c r="D1937" s="2"/>
      <c r="E1937" s="2"/>
    </row>
    <row r="1938" spans="4:5" x14ac:dyDescent="0.25">
      <c r="D1938" s="2"/>
      <c r="E1938" s="2"/>
    </row>
    <row r="1939" spans="4:5" x14ac:dyDescent="0.25">
      <c r="D1939" s="2"/>
      <c r="E1939" s="2"/>
    </row>
    <row r="1940" spans="4:5" x14ac:dyDescent="0.25">
      <c r="D1940" s="2"/>
      <c r="E1940" s="2"/>
    </row>
    <row r="1941" spans="4:5" x14ac:dyDescent="0.25">
      <c r="D1941" s="2"/>
      <c r="E1941" s="2"/>
    </row>
    <row r="1942" spans="4:5" x14ac:dyDescent="0.25">
      <c r="D1942" s="2"/>
      <c r="E1942" s="2"/>
    </row>
    <row r="1943" spans="4:5" x14ac:dyDescent="0.25">
      <c r="D1943" s="2"/>
      <c r="E1943" s="2"/>
    </row>
    <row r="1944" spans="4:5" x14ac:dyDescent="0.25">
      <c r="D1944" s="2"/>
      <c r="E1944" s="2"/>
    </row>
    <row r="1945" spans="4:5" x14ac:dyDescent="0.25">
      <c r="D1945" s="2"/>
      <c r="E1945" s="2"/>
    </row>
    <row r="1946" spans="4:5" x14ac:dyDescent="0.25">
      <c r="D1946" s="2"/>
      <c r="E1946" s="2"/>
    </row>
    <row r="1947" spans="4:5" x14ac:dyDescent="0.25">
      <c r="D1947" s="2"/>
      <c r="E1947" s="2"/>
    </row>
    <row r="1948" spans="4:5" x14ac:dyDescent="0.25">
      <c r="D1948" s="2"/>
      <c r="E1948" s="2"/>
    </row>
    <row r="1949" spans="4:5" x14ac:dyDescent="0.25">
      <c r="D1949" s="2"/>
      <c r="E1949" s="2"/>
    </row>
    <row r="1950" spans="4:5" x14ac:dyDescent="0.25">
      <c r="D1950" s="2"/>
      <c r="E1950" s="2"/>
    </row>
    <row r="1951" spans="4:5" x14ac:dyDescent="0.25">
      <c r="D1951" s="2"/>
      <c r="E1951" s="2"/>
    </row>
    <row r="1952" spans="4:5" x14ac:dyDescent="0.25">
      <c r="D1952" s="2"/>
      <c r="E1952" s="2"/>
    </row>
    <row r="1953" spans="4:5" x14ac:dyDescent="0.25">
      <c r="D1953" s="2"/>
      <c r="E1953" s="2"/>
    </row>
    <row r="1954" spans="4:5" x14ac:dyDescent="0.25">
      <c r="D1954" s="2"/>
      <c r="E1954" s="2"/>
    </row>
    <row r="1955" spans="4:5" x14ac:dyDescent="0.25">
      <c r="D1955" s="2"/>
      <c r="E1955" s="2"/>
    </row>
    <row r="1956" spans="4:5" x14ac:dyDescent="0.25">
      <c r="D1956" s="2"/>
      <c r="E1956" s="2"/>
    </row>
    <row r="1957" spans="4:5" x14ac:dyDescent="0.25">
      <c r="D1957" s="2"/>
      <c r="E1957" s="2"/>
    </row>
    <row r="1958" spans="4:5" x14ac:dyDescent="0.25">
      <c r="D1958" s="2"/>
      <c r="E1958" s="2"/>
    </row>
    <row r="1959" spans="4:5" x14ac:dyDescent="0.25">
      <c r="D1959" s="2"/>
      <c r="E1959" s="2"/>
    </row>
    <row r="1960" spans="4:5" x14ac:dyDescent="0.25">
      <c r="D1960" s="2"/>
      <c r="E1960" s="2"/>
    </row>
    <row r="1961" spans="4:5" x14ac:dyDescent="0.25">
      <c r="D1961" s="2"/>
      <c r="E1961" s="2"/>
    </row>
    <row r="1962" spans="4:5" x14ac:dyDescent="0.25">
      <c r="D1962" s="2"/>
      <c r="E1962" s="2"/>
    </row>
    <row r="1963" spans="4:5" x14ac:dyDescent="0.25">
      <c r="D1963" s="2"/>
      <c r="E1963" s="2"/>
    </row>
    <row r="1964" spans="4:5" x14ac:dyDescent="0.25">
      <c r="D1964" s="2"/>
      <c r="E1964" s="2"/>
    </row>
    <row r="1965" spans="4:5" x14ac:dyDescent="0.25">
      <c r="D1965" s="2"/>
      <c r="E1965" s="2"/>
    </row>
    <row r="1966" spans="4:5" x14ac:dyDescent="0.25">
      <c r="D1966" s="2"/>
      <c r="E1966" s="2"/>
    </row>
    <row r="1967" spans="4:5" x14ac:dyDescent="0.25">
      <c r="D1967" s="2"/>
      <c r="E1967" s="2"/>
    </row>
    <row r="1968" spans="4:5" x14ac:dyDescent="0.25">
      <c r="D1968" s="2"/>
      <c r="E1968" s="2"/>
    </row>
    <row r="1969" spans="4:5" x14ac:dyDescent="0.25">
      <c r="D1969" s="2"/>
      <c r="E1969" s="2"/>
    </row>
    <row r="1970" spans="4:5" x14ac:dyDescent="0.25">
      <c r="D1970" s="2"/>
      <c r="E1970" s="2"/>
    </row>
    <row r="1971" spans="4:5" x14ac:dyDescent="0.25">
      <c r="D1971" s="2"/>
      <c r="E1971" s="2"/>
    </row>
    <row r="1972" spans="4:5" x14ac:dyDescent="0.25">
      <c r="D1972" s="2"/>
      <c r="E1972" s="2"/>
    </row>
    <row r="1973" spans="4:5" x14ac:dyDescent="0.25">
      <c r="D1973" s="2"/>
      <c r="E1973" s="2"/>
    </row>
    <row r="1974" spans="4:5" x14ac:dyDescent="0.25">
      <c r="D1974" s="2"/>
      <c r="E1974" s="2"/>
    </row>
    <row r="1975" spans="4:5" x14ac:dyDescent="0.25">
      <c r="D1975" s="2"/>
      <c r="E1975" s="2"/>
    </row>
    <row r="1976" spans="4:5" x14ac:dyDescent="0.25">
      <c r="D1976" s="2"/>
      <c r="E1976" s="2"/>
    </row>
    <row r="1977" spans="4:5" x14ac:dyDescent="0.25">
      <c r="D1977" s="2"/>
      <c r="E1977" s="2"/>
    </row>
    <row r="1978" spans="4:5" x14ac:dyDescent="0.25">
      <c r="D1978" s="2"/>
      <c r="E1978" s="2"/>
    </row>
    <row r="1979" spans="4:5" x14ac:dyDescent="0.25">
      <c r="D1979" s="2"/>
      <c r="E1979" s="2"/>
    </row>
    <row r="1980" spans="4:5" x14ac:dyDescent="0.25">
      <c r="D1980" s="2"/>
      <c r="E1980" s="2"/>
    </row>
    <row r="1981" spans="4:5" x14ac:dyDescent="0.25">
      <c r="D1981" s="2"/>
      <c r="E1981" s="2"/>
    </row>
    <row r="1982" spans="4:5" x14ac:dyDescent="0.25">
      <c r="D1982" s="2"/>
      <c r="E1982" s="2"/>
    </row>
    <row r="1983" spans="4:5" x14ac:dyDescent="0.25">
      <c r="D1983" s="2"/>
      <c r="E1983" s="2"/>
    </row>
    <row r="1984" spans="4:5" x14ac:dyDescent="0.25">
      <c r="D1984" s="2"/>
      <c r="E1984" s="2"/>
    </row>
    <row r="1985" spans="4:5" x14ac:dyDescent="0.25">
      <c r="D1985" s="2"/>
      <c r="E1985" s="2"/>
    </row>
    <row r="1986" spans="4:5" x14ac:dyDescent="0.25">
      <c r="D1986" s="2"/>
      <c r="E1986" s="2"/>
    </row>
    <row r="1987" spans="4:5" x14ac:dyDescent="0.25">
      <c r="D1987" s="2"/>
      <c r="E1987" s="2"/>
    </row>
    <row r="1988" spans="4:5" x14ac:dyDescent="0.25">
      <c r="D1988" s="2"/>
      <c r="E1988" s="2"/>
    </row>
    <row r="1989" spans="4:5" x14ac:dyDescent="0.25">
      <c r="D1989" s="2"/>
      <c r="E1989" s="2"/>
    </row>
    <row r="1990" spans="4:5" x14ac:dyDescent="0.25">
      <c r="D1990" s="2"/>
      <c r="E1990" s="2"/>
    </row>
    <row r="1991" spans="4:5" x14ac:dyDescent="0.25">
      <c r="D1991" s="2"/>
      <c r="E1991" s="2"/>
    </row>
    <row r="1992" spans="4:5" x14ac:dyDescent="0.25">
      <c r="D1992" s="2"/>
      <c r="E1992" s="2"/>
    </row>
    <row r="1993" spans="4:5" x14ac:dyDescent="0.25">
      <c r="D1993" s="2"/>
      <c r="E1993" s="2"/>
    </row>
    <row r="1994" spans="4:5" x14ac:dyDescent="0.25">
      <c r="D1994" s="2"/>
      <c r="E1994" s="2"/>
    </row>
    <row r="1995" spans="4:5" x14ac:dyDescent="0.25">
      <c r="D1995" s="2"/>
      <c r="E1995" s="2"/>
    </row>
    <row r="1996" spans="4:5" x14ac:dyDescent="0.25">
      <c r="D1996" s="2"/>
      <c r="E1996" s="2"/>
    </row>
    <row r="1997" spans="4:5" x14ac:dyDescent="0.25">
      <c r="D1997" s="2"/>
      <c r="E1997" s="2"/>
    </row>
    <row r="1998" spans="4:5" x14ac:dyDescent="0.25">
      <c r="D1998" s="2"/>
      <c r="E1998" s="2"/>
    </row>
    <row r="1999" spans="4:5" x14ac:dyDescent="0.25">
      <c r="D1999" s="2"/>
      <c r="E1999" s="2"/>
    </row>
    <row r="2000" spans="4:5" x14ac:dyDescent="0.25">
      <c r="D2000" s="2"/>
      <c r="E2000" s="2"/>
    </row>
    <row r="2001" spans="4:5" x14ac:dyDescent="0.25">
      <c r="D2001" s="2"/>
      <c r="E2001" s="2"/>
    </row>
    <row r="2002" spans="4:5" x14ac:dyDescent="0.25">
      <c r="D2002" s="2"/>
      <c r="E2002" s="2"/>
    </row>
    <row r="2003" spans="4:5" x14ac:dyDescent="0.25">
      <c r="D2003" s="2"/>
      <c r="E2003" s="2"/>
    </row>
    <row r="2004" spans="4:5" x14ac:dyDescent="0.25">
      <c r="D2004" s="2"/>
      <c r="E2004" s="2"/>
    </row>
    <row r="2005" spans="4:5" x14ac:dyDescent="0.25">
      <c r="D2005" s="2"/>
      <c r="E2005" s="2"/>
    </row>
    <row r="2006" spans="4:5" x14ac:dyDescent="0.25">
      <c r="D2006" s="2"/>
      <c r="E2006" s="2"/>
    </row>
    <row r="2007" spans="4:5" x14ac:dyDescent="0.25">
      <c r="D2007" s="2"/>
      <c r="E2007" s="2"/>
    </row>
    <row r="2008" spans="4:5" x14ac:dyDescent="0.25">
      <c r="D2008" s="2"/>
      <c r="E2008" s="2"/>
    </row>
    <row r="2009" spans="4:5" x14ac:dyDescent="0.25">
      <c r="D2009" s="2"/>
      <c r="E2009" s="2"/>
    </row>
    <row r="2010" spans="4:5" x14ac:dyDescent="0.25">
      <c r="D2010" s="2"/>
      <c r="E2010" s="2"/>
    </row>
    <row r="2011" spans="4:5" x14ac:dyDescent="0.25">
      <c r="D2011" s="2"/>
      <c r="E2011" s="2"/>
    </row>
    <row r="2012" spans="4:5" x14ac:dyDescent="0.25">
      <c r="D2012" s="2"/>
      <c r="E2012" s="2"/>
    </row>
    <row r="2013" spans="4:5" x14ac:dyDescent="0.25">
      <c r="D2013" s="2"/>
      <c r="E2013" s="2"/>
    </row>
    <row r="2014" spans="4:5" x14ac:dyDescent="0.25">
      <c r="D2014" s="2"/>
      <c r="E2014" s="2"/>
    </row>
    <row r="2015" spans="4:5" x14ac:dyDescent="0.25">
      <c r="D2015" s="2"/>
      <c r="E2015" s="2"/>
    </row>
    <row r="2016" spans="4:5" x14ac:dyDescent="0.25">
      <c r="D2016" s="2"/>
      <c r="E2016" s="2"/>
    </row>
    <row r="2017" spans="4:5" x14ac:dyDescent="0.25">
      <c r="D2017" s="2"/>
      <c r="E2017" s="2"/>
    </row>
    <row r="2018" spans="4:5" x14ac:dyDescent="0.25">
      <c r="D2018" s="2"/>
      <c r="E2018" s="2"/>
    </row>
    <row r="2019" spans="4:5" x14ac:dyDescent="0.25">
      <c r="D2019" s="2"/>
      <c r="E2019" s="2"/>
    </row>
    <row r="2020" spans="4:5" x14ac:dyDescent="0.25">
      <c r="D2020" s="2"/>
      <c r="E2020" s="2"/>
    </row>
    <row r="2021" spans="4:5" x14ac:dyDescent="0.25">
      <c r="D2021" s="2"/>
      <c r="E2021" s="2"/>
    </row>
    <row r="2022" spans="4:5" x14ac:dyDescent="0.25">
      <c r="D2022" s="2"/>
      <c r="E2022" s="2"/>
    </row>
    <row r="2023" spans="4:5" x14ac:dyDescent="0.25">
      <c r="D2023" s="2"/>
      <c r="E2023" s="2"/>
    </row>
    <row r="2024" spans="4:5" x14ac:dyDescent="0.25">
      <c r="D2024" s="2"/>
      <c r="E2024" s="2"/>
    </row>
    <row r="2025" spans="4:5" x14ac:dyDescent="0.25">
      <c r="D2025" s="2"/>
      <c r="E2025" s="2"/>
    </row>
    <row r="2026" spans="4:5" x14ac:dyDescent="0.25">
      <c r="D2026" s="2"/>
      <c r="E2026" s="2"/>
    </row>
    <row r="2027" spans="4:5" x14ac:dyDescent="0.25">
      <c r="D2027" s="2"/>
      <c r="E2027" s="2"/>
    </row>
    <row r="2028" spans="4:5" x14ac:dyDescent="0.25">
      <c r="D2028" s="2"/>
      <c r="E2028" s="2"/>
    </row>
    <row r="2029" spans="4:5" x14ac:dyDescent="0.25">
      <c r="D2029" s="2"/>
      <c r="E2029" s="2"/>
    </row>
    <row r="2030" spans="4:5" x14ac:dyDescent="0.25">
      <c r="D2030" s="2"/>
      <c r="E2030" s="2"/>
    </row>
    <row r="2031" spans="4:5" x14ac:dyDescent="0.25">
      <c r="D2031" s="2"/>
      <c r="E2031" s="2"/>
    </row>
    <row r="2032" spans="4:5" x14ac:dyDescent="0.25">
      <c r="D2032" s="2"/>
      <c r="E2032" s="2"/>
    </row>
    <row r="2033" spans="4:5" x14ac:dyDescent="0.25">
      <c r="D2033" s="2"/>
      <c r="E2033" s="2"/>
    </row>
    <row r="2034" spans="4:5" x14ac:dyDescent="0.25">
      <c r="D2034" s="2"/>
      <c r="E2034" s="2"/>
    </row>
    <row r="2035" spans="4:5" x14ac:dyDescent="0.25">
      <c r="D2035" s="2"/>
      <c r="E2035" s="2"/>
    </row>
    <row r="2036" spans="4:5" x14ac:dyDescent="0.25">
      <c r="D2036" s="2"/>
      <c r="E2036" s="2"/>
    </row>
    <row r="2037" spans="4:5" x14ac:dyDescent="0.25">
      <c r="D2037" s="2"/>
      <c r="E2037" s="2"/>
    </row>
    <row r="2038" spans="4:5" x14ac:dyDescent="0.25">
      <c r="D2038" s="2"/>
      <c r="E2038" s="2"/>
    </row>
    <row r="2039" spans="4:5" x14ac:dyDescent="0.25">
      <c r="D2039" s="2"/>
      <c r="E2039" s="2"/>
    </row>
    <row r="2040" spans="4:5" x14ac:dyDescent="0.25">
      <c r="D2040" s="2"/>
      <c r="E2040" s="2"/>
    </row>
    <row r="2041" spans="4:5" x14ac:dyDescent="0.25">
      <c r="D2041" s="2"/>
      <c r="E2041" s="2"/>
    </row>
    <row r="2042" spans="4:5" x14ac:dyDescent="0.25">
      <c r="D2042" s="2"/>
      <c r="E2042" s="2"/>
    </row>
    <row r="2043" spans="4:5" x14ac:dyDescent="0.25">
      <c r="D2043" s="2"/>
      <c r="E2043" s="2"/>
    </row>
    <row r="2044" spans="4:5" x14ac:dyDescent="0.25">
      <c r="D2044" s="2"/>
      <c r="E2044" s="2"/>
    </row>
    <row r="2045" spans="4:5" x14ac:dyDescent="0.25">
      <c r="D2045" s="2"/>
      <c r="E2045" s="2"/>
    </row>
    <row r="2046" spans="4:5" x14ac:dyDescent="0.25">
      <c r="D2046" s="2"/>
      <c r="E2046" s="2"/>
    </row>
    <row r="2047" spans="4:5" x14ac:dyDescent="0.25">
      <c r="D2047" s="2"/>
      <c r="E2047" s="2"/>
    </row>
    <row r="2048" spans="4:5" x14ac:dyDescent="0.25">
      <c r="D2048" s="2"/>
      <c r="E2048" s="2"/>
    </row>
    <row r="2049" spans="4:5" x14ac:dyDescent="0.25">
      <c r="D2049" s="2"/>
      <c r="E2049" s="2"/>
    </row>
    <row r="2050" spans="4:5" x14ac:dyDescent="0.25">
      <c r="D2050" s="2"/>
      <c r="E2050" s="2"/>
    </row>
    <row r="2051" spans="4:5" x14ac:dyDescent="0.25">
      <c r="D2051" s="2"/>
      <c r="E2051" s="2"/>
    </row>
    <row r="2052" spans="4:5" x14ac:dyDescent="0.25">
      <c r="D2052" s="2"/>
      <c r="E2052" s="2"/>
    </row>
    <row r="2053" spans="4:5" x14ac:dyDescent="0.25">
      <c r="D2053" s="2"/>
      <c r="E2053" s="2"/>
    </row>
    <row r="2054" spans="4:5" x14ac:dyDescent="0.25">
      <c r="D2054" s="2"/>
      <c r="E2054" s="2"/>
    </row>
    <row r="2055" spans="4:5" x14ac:dyDescent="0.25">
      <c r="D2055" s="2"/>
      <c r="E2055" s="2"/>
    </row>
    <row r="2056" spans="4:5" x14ac:dyDescent="0.25">
      <c r="D2056" s="2"/>
      <c r="E2056" s="2"/>
    </row>
    <row r="2057" spans="4:5" x14ac:dyDescent="0.25">
      <c r="D2057" s="2"/>
      <c r="E2057" s="2"/>
    </row>
    <row r="2058" spans="4:5" x14ac:dyDescent="0.25">
      <c r="D2058" s="2"/>
      <c r="E2058" s="2"/>
    </row>
    <row r="2059" spans="4:5" x14ac:dyDescent="0.25">
      <c r="D2059" s="2"/>
      <c r="E2059" s="2"/>
    </row>
    <row r="2060" spans="4:5" x14ac:dyDescent="0.25">
      <c r="D2060" s="2"/>
      <c r="E2060" s="2"/>
    </row>
    <row r="2061" spans="4:5" x14ac:dyDescent="0.25">
      <c r="D2061" s="2"/>
      <c r="E2061" s="2"/>
    </row>
    <row r="2062" spans="4:5" x14ac:dyDescent="0.25">
      <c r="D2062" s="2"/>
      <c r="E2062" s="2"/>
    </row>
    <row r="2063" spans="4:5" x14ac:dyDescent="0.25">
      <c r="D2063" s="2"/>
      <c r="E2063" s="2"/>
    </row>
    <row r="2064" spans="4:5" x14ac:dyDescent="0.25">
      <c r="D2064" s="2"/>
      <c r="E2064" s="2"/>
    </row>
    <row r="2065" spans="4:5" x14ac:dyDescent="0.25">
      <c r="D2065" s="2"/>
      <c r="E2065" s="2"/>
    </row>
    <row r="2066" spans="4:5" x14ac:dyDescent="0.25">
      <c r="D2066" s="2"/>
      <c r="E2066" s="2"/>
    </row>
    <row r="2067" spans="4:5" x14ac:dyDescent="0.25">
      <c r="D2067" s="2"/>
      <c r="E2067" s="2"/>
    </row>
    <row r="2068" spans="4:5" x14ac:dyDescent="0.25">
      <c r="D2068" s="2"/>
      <c r="E2068" s="2"/>
    </row>
    <row r="2069" spans="4:5" x14ac:dyDescent="0.25">
      <c r="D2069" s="2"/>
      <c r="E2069" s="2"/>
    </row>
    <row r="2070" spans="4:5" x14ac:dyDescent="0.25">
      <c r="D2070" s="2"/>
      <c r="E2070" s="2"/>
    </row>
    <row r="2071" spans="4:5" x14ac:dyDescent="0.25">
      <c r="D2071" s="2"/>
      <c r="E2071" s="2"/>
    </row>
    <row r="2072" spans="4:5" x14ac:dyDescent="0.25">
      <c r="D2072" s="2"/>
      <c r="E2072" s="2"/>
    </row>
    <row r="2073" spans="4:5" x14ac:dyDescent="0.25">
      <c r="D2073" s="2"/>
      <c r="E2073" s="2"/>
    </row>
    <row r="2074" spans="4:5" x14ac:dyDescent="0.25">
      <c r="D2074" s="2"/>
      <c r="E2074" s="2"/>
    </row>
    <row r="2075" spans="4:5" x14ac:dyDescent="0.25">
      <c r="D2075" s="2"/>
      <c r="E2075" s="2"/>
    </row>
    <row r="2076" spans="4:5" x14ac:dyDescent="0.25">
      <c r="D2076" s="2"/>
      <c r="E2076" s="2"/>
    </row>
    <row r="2077" spans="4:5" x14ac:dyDescent="0.25">
      <c r="D2077" s="2"/>
      <c r="E2077" s="2"/>
    </row>
    <row r="2078" spans="4:5" x14ac:dyDescent="0.25">
      <c r="D2078" s="2"/>
      <c r="E2078" s="2"/>
    </row>
    <row r="2079" spans="4:5" x14ac:dyDescent="0.25">
      <c r="D2079" s="2"/>
      <c r="E2079" s="2"/>
    </row>
    <row r="2080" spans="4:5" x14ac:dyDescent="0.25">
      <c r="D2080" s="2"/>
      <c r="E2080" s="2"/>
    </row>
    <row r="2081" spans="4:5" x14ac:dyDescent="0.25">
      <c r="D2081" s="2"/>
      <c r="E2081" s="2"/>
    </row>
    <row r="2082" spans="4:5" x14ac:dyDescent="0.25">
      <c r="D2082" s="2"/>
      <c r="E2082" s="2"/>
    </row>
    <row r="2083" spans="4:5" x14ac:dyDescent="0.25">
      <c r="D2083" s="2"/>
      <c r="E2083" s="2"/>
    </row>
    <row r="2084" spans="4:5" x14ac:dyDescent="0.25">
      <c r="D2084" s="2"/>
      <c r="E2084" s="2"/>
    </row>
    <row r="2085" spans="4:5" x14ac:dyDescent="0.25">
      <c r="D2085" s="2"/>
      <c r="E2085" s="2"/>
    </row>
    <row r="2086" spans="4:5" x14ac:dyDescent="0.25">
      <c r="D2086" s="2"/>
      <c r="E2086" s="2"/>
    </row>
    <row r="2087" spans="4:5" x14ac:dyDescent="0.25">
      <c r="D2087" s="2"/>
      <c r="E2087" s="2"/>
    </row>
    <row r="2088" spans="4:5" x14ac:dyDescent="0.25">
      <c r="D2088" s="2"/>
      <c r="E2088" s="2"/>
    </row>
    <row r="2089" spans="4:5" x14ac:dyDescent="0.25">
      <c r="D2089" s="2"/>
      <c r="E2089" s="2"/>
    </row>
    <row r="2090" spans="4:5" x14ac:dyDescent="0.25">
      <c r="D2090" s="2"/>
      <c r="E2090" s="2"/>
    </row>
    <row r="2091" spans="4:5" x14ac:dyDescent="0.25">
      <c r="D2091" s="2"/>
      <c r="E2091" s="2"/>
    </row>
    <row r="2092" spans="4:5" x14ac:dyDescent="0.25">
      <c r="D2092" s="2"/>
      <c r="E2092" s="2"/>
    </row>
    <row r="2093" spans="4:5" x14ac:dyDescent="0.25">
      <c r="D2093" s="2"/>
      <c r="E2093" s="2"/>
    </row>
    <row r="2094" spans="4:5" x14ac:dyDescent="0.25">
      <c r="D2094" s="2"/>
      <c r="E2094" s="2"/>
    </row>
    <row r="2095" spans="4:5" x14ac:dyDescent="0.25">
      <c r="D2095" s="2"/>
      <c r="E2095" s="2"/>
    </row>
    <row r="2096" spans="4:5" x14ac:dyDescent="0.25">
      <c r="D2096" s="2"/>
      <c r="E2096" s="2"/>
    </row>
    <row r="2097" spans="4:5" x14ac:dyDescent="0.25">
      <c r="D2097" s="2"/>
      <c r="E2097" s="2"/>
    </row>
    <row r="2098" spans="4:5" x14ac:dyDescent="0.25">
      <c r="D2098" s="2"/>
      <c r="E2098" s="2"/>
    </row>
    <row r="2099" spans="4:5" x14ac:dyDescent="0.25">
      <c r="D2099" s="2"/>
      <c r="E2099" s="2"/>
    </row>
    <row r="2100" spans="4:5" x14ac:dyDescent="0.25">
      <c r="D2100" s="2"/>
      <c r="E2100" s="2"/>
    </row>
    <row r="2101" spans="4:5" x14ac:dyDescent="0.25">
      <c r="D2101" s="2"/>
      <c r="E2101" s="2"/>
    </row>
    <row r="2102" spans="4:5" x14ac:dyDescent="0.25">
      <c r="D2102" s="2"/>
      <c r="E2102" s="2"/>
    </row>
    <row r="2103" spans="4:5" x14ac:dyDescent="0.25">
      <c r="D2103" s="2"/>
      <c r="E2103" s="2"/>
    </row>
    <row r="2104" spans="4:5" x14ac:dyDescent="0.25">
      <c r="D2104" s="2"/>
      <c r="E2104" s="2"/>
    </row>
    <row r="2105" spans="4:5" x14ac:dyDescent="0.25">
      <c r="D2105" s="2"/>
      <c r="E2105" s="2"/>
    </row>
    <row r="2106" spans="4:5" x14ac:dyDescent="0.25">
      <c r="D2106" s="2"/>
      <c r="E2106" s="2"/>
    </row>
    <row r="2107" spans="4:5" x14ac:dyDescent="0.25">
      <c r="D2107" s="2"/>
      <c r="E2107" s="2"/>
    </row>
    <row r="2108" spans="4:5" x14ac:dyDescent="0.25">
      <c r="D2108" s="2"/>
      <c r="E2108" s="2"/>
    </row>
    <row r="2109" spans="4:5" x14ac:dyDescent="0.25">
      <c r="D2109" s="2"/>
      <c r="E2109" s="2"/>
    </row>
    <row r="2110" spans="4:5" x14ac:dyDescent="0.25">
      <c r="D2110" s="2"/>
      <c r="E2110" s="2"/>
    </row>
    <row r="2111" spans="4:5" x14ac:dyDescent="0.25">
      <c r="D2111" s="2"/>
      <c r="E2111" s="2"/>
    </row>
    <row r="2112" spans="4:5" x14ac:dyDescent="0.25">
      <c r="D2112" s="2"/>
      <c r="E2112" s="2"/>
    </row>
    <row r="2113" spans="4:5" x14ac:dyDescent="0.25">
      <c r="D2113" s="2"/>
      <c r="E2113" s="2"/>
    </row>
    <row r="2114" spans="4:5" x14ac:dyDescent="0.25">
      <c r="D2114" s="2"/>
      <c r="E2114" s="2"/>
    </row>
    <row r="2115" spans="4:5" x14ac:dyDescent="0.25">
      <c r="D2115" s="2"/>
      <c r="E2115" s="2"/>
    </row>
    <row r="2116" spans="4:5" x14ac:dyDescent="0.25">
      <c r="D2116" s="2"/>
      <c r="E2116" s="2"/>
    </row>
    <row r="2117" spans="4:5" x14ac:dyDescent="0.25">
      <c r="D2117" s="2"/>
      <c r="E2117" s="2"/>
    </row>
    <row r="2118" spans="4:5" x14ac:dyDescent="0.25">
      <c r="D2118" s="2"/>
      <c r="E2118" s="2"/>
    </row>
    <row r="2119" spans="4:5" x14ac:dyDescent="0.25">
      <c r="D2119" s="2"/>
      <c r="E2119" s="2"/>
    </row>
    <row r="2120" spans="4:5" x14ac:dyDescent="0.25">
      <c r="D2120" s="2"/>
      <c r="E2120" s="2"/>
    </row>
    <row r="2121" spans="4:5" x14ac:dyDescent="0.25">
      <c r="D2121" s="2"/>
      <c r="E2121" s="2"/>
    </row>
    <row r="2122" spans="4:5" x14ac:dyDescent="0.25">
      <c r="D2122" s="2"/>
      <c r="E2122" s="2"/>
    </row>
    <row r="2123" spans="4:5" x14ac:dyDescent="0.25">
      <c r="D2123" s="2"/>
      <c r="E2123" s="2"/>
    </row>
    <row r="2124" spans="4:5" x14ac:dyDescent="0.25">
      <c r="D2124" s="2"/>
      <c r="E2124" s="2"/>
    </row>
    <row r="2125" spans="4:5" x14ac:dyDescent="0.25">
      <c r="D2125" s="2"/>
      <c r="E2125" s="2"/>
    </row>
    <row r="2126" spans="4:5" x14ac:dyDescent="0.25">
      <c r="D2126" s="2"/>
      <c r="E2126" s="2"/>
    </row>
    <row r="2127" spans="4:5" x14ac:dyDescent="0.25">
      <c r="D2127" s="2"/>
      <c r="E2127" s="2"/>
    </row>
    <row r="2128" spans="4:5" x14ac:dyDescent="0.25">
      <c r="D2128" s="2"/>
      <c r="E2128" s="2"/>
    </row>
    <row r="2129" spans="4:5" x14ac:dyDescent="0.25">
      <c r="D2129" s="2"/>
      <c r="E2129" s="2"/>
    </row>
    <row r="2130" spans="4:5" x14ac:dyDescent="0.25">
      <c r="D2130" s="2"/>
      <c r="E2130" s="2"/>
    </row>
    <row r="2131" spans="4:5" x14ac:dyDescent="0.25">
      <c r="D2131" s="2"/>
      <c r="E2131" s="2"/>
    </row>
    <row r="2132" spans="4:5" x14ac:dyDescent="0.25">
      <c r="D2132" s="2"/>
      <c r="E2132" s="2"/>
    </row>
    <row r="2133" spans="4:5" x14ac:dyDescent="0.25">
      <c r="D2133" s="2"/>
      <c r="E2133" s="2"/>
    </row>
    <row r="2134" spans="4:5" x14ac:dyDescent="0.25">
      <c r="D2134" s="2"/>
      <c r="E2134" s="2"/>
    </row>
    <row r="2135" spans="4:5" x14ac:dyDescent="0.25">
      <c r="D2135" s="2"/>
      <c r="E2135" s="2"/>
    </row>
    <row r="2136" spans="4:5" x14ac:dyDescent="0.25">
      <c r="D2136" s="2"/>
      <c r="E2136" s="2"/>
    </row>
    <row r="2137" spans="4:5" x14ac:dyDescent="0.25">
      <c r="D2137" s="2"/>
      <c r="E2137" s="2"/>
    </row>
    <row r="2138" spans="4:5" x14ac:dyDescent="0.25">
      <c r="D2138" s="2"/>
      <c r="E2138" s="2"/>
    </row>
    <row r="2139" spans="4:5" x14ac:dyDescent="0.25">
      <c r="D2139" s="2"/>
      <c r="E2139" s="2"/>
    </row>
    <row r="2140" spans="4:5" x14ac:dyDescent="0.25">
      <c r="D2140" s="2"/>
      <c r="E2140" s="2"/>
    </row>
    <row r="2141" spans="4:5" x14ac:dyDescent="0.25">
      <c r="D2141" s="2"/>
      <c r="E2141" s="2"/>
    </row>
    <row r="2142" spans="4:5" x14ac:dyDescent="0.25">
      <c r="D2142" s="2"/>
      <c r="E2142" s="2"/>
    </row>
    <row r="2143" spans="4:5" x14ac:dyDescent="0.25">
      <c r="D2143" s="2"/>
      <c r="E2143" s="2"/>
    </row>
    <row r="2144" spans="4:5" x14ac:dyDescent="0.25">
      <c r="D2144" s="2"/>
      <c r="E2144" s="2"/>
    </row>
    <row r="2145" spans="4:5" x14ac:dyDescent="0.25">
      <c r="D2145" s="2"/>
      <c r="E2145" s="2"/>
    </row>
    <row r="2146" spans="4:5" x14ac:dyDescent="0.25">
      <c r="D2146" s="2"/>
      <c r="E2146" s="2"/>
    </row>
    <row r="2147" spans="4:5" x14ac:dyDescent="0.25">
      <c r="D2147" s="2"/>
      <c r="E2147" s="2"/>
    </row>
    <row r="2148" spans="4:5" x14ac:dyDescent="0.25">
      <c r="D2148" s="2"/>
      <c r="E2148" s="2"/>
    </row>
    <row r="2149" spans="4:5" x14ac:dyDescent="0.25">
      <c r="D2149" s="2"/>
      <c r="E2149" s="2"/>
    </row>
    <row r="2150" spans="4:5" x14ac:dyDescent="0.25">
      <c r="D2150" s="2"/>
      <c r="E2150" s="2"/>
    </row>
    <row r="2151" spans="4:5" x14ac:dyDescent="0.25">
      <c r="D2151" s="2"/>
      <c r="E2151" s="2"/>
    </row>
    <row r="2152" spans="4:5" x14ac:dyDescent="0.25">
      <c r="D2152" s="2"/>
      <c r="E2152" s="2"/>
    </row>
    <row r="2153" spans="4:5" x14ac:dyDescent="0.25">
      <c r="D2153" s="2"/>
      <c r="E2153" s="2"/>
    </row>
    <row r="2154" spans="4:5" x14ac:dyDescent="0.25">
      <c r="D2154" s="2"/>
      <c r="E2154" s="2"/>
    </row>
    <row r="2155" spans="4:5" x14ac:dyDescent="0.25">
      <c r="D2155" s="2"/>
      <c r="E2155" s="2"/>
    </row>
    <row r="2156" spans="4:5" x14ac:dyDescent="0.25">
      <c r="D2156" s="2"/>
      <c r="E2156" s="2"/>
    </row>
    <row r="2157" spans="4:5" x14ac:dyDescent="0.25">
      <c r="D2157" s="2"/>
      <c r="E2157" s="2"/>
    </row>
    <row r="2158" spans="4:5" x14ac:dyDescent="0.25">
      <c r="D2158" s="2"/>
      <c r="E2158" s="2"/>
    </row>
    <row r="2159" spans="4:5" x14ac:dyDescent="0.25">
      <c r="D2159" s="2"/>
      <c r="E2159" s="2"/>
    </row>
    <row r="2160" spans="4:5" x14ac:dyDescent="0.25">
      <c r="D2160" s="2"/>
      <c r="E2160" s="2"/>
    </row>
    <row r="2161" spans="4:5" x14ac:dyDescent="0.25">
      <c r="D2161" s="2"/>
      <c r="E2161" s="2"/>
    </row>
    <row r="2162" spans="4:5" x14ac:dyDescent="0.25">
      <c r="D2162" s="2"/>
      <c r="E2162" s="2"/>
    </row>
    <row r="2163" spans="4:5" x14ac:dyDescent="0.25">
      <c r="D2163" s="2"/>
      <c r="E2163" s="2"/>
    </row>
    <row r="2164" spans="4:5" x14ac:dyDescent="0.25">
      <c r="D2164" s="2"/>
      <c r="E2164" s="2"/>
    </row>
    <row r="2165" spans="4:5" x14ac:dyDescent="0.25">
      <c r="D2165" s="2"/>
      <c r="E2165" s="2"/>
    </row>
    <row r="2166" spans="4:5" x14ac:dyDescent="0.25">
      <c r="D2166" s="2"/>
      <c r="E2166" s="2"/>
    </row>
    <row r="2167" spans="4:5" x14ac:dyDescent="0.25">
      <c r="D2167" s="2"/>
      <c r="E2167" s="2"/>
    </row>
    <row r="2168" spans="4:5" x14ac:dyDescent="0.25">
      <c r="D2168" s="2"/>
      <c r="E2168" s="2"/>
    </row>
    <row r="2169" spans="4:5" x14ac:dyDescent="0.25">
      <c r="D2169" s="2"/>
      <c r="E2169" s="2"/>
    </row>
    <row r="2170" spans="4:5" x14ac:dyDescent="0.25">
      <c r="D2170" s="2"/>
      <c r="E2170" s="2"/>
    </row>
    <row r="2171" spans="4:5" x14ac:dyDescent="0.25">
      <c r="D2171" s="2"/>
      <c r="E2171" s="2"/>
    </row>
    <row r="2172" spans="4:5" x14ac:dyDescent="0.25">
      <c r="D2172" s="2"/>
      <c r="E2172" s="2"/>
    </row>
    <row r="2173" spans="4:5" x14ac:dyDescent="0.25">
      <c r="D2173" s="2"/>
      <c r="E2173" s="2"/>
    </row>
    <row r="2174" spans="4:5" x14ac:dyDescent="0.25">
      <c r="D2174" s="2"/>
      <c r="E2174" s="2"/>
    </row>
    <row r="2175" spans="4:5" x14ac:dyDescent="0.25">
      <c r="D2175" s="2"/>
      <c r="E2175" s="2"/>
    </row>
    <row r="2176" spans="4:5" x14ac:dyDescent="0.25">
      <c r="D2176" s="2"/>
      <c r="E2176" s="2"/>
    </row>
    <row r="2177" spans="4:5" x14ac:dyDescent="0.25">
      <c r="D2177" s="2"/>
      <c r="E2177" s="2"/>
    </row>
    <row r="2178" spans="4:5" x14ac:dyDescent="0.25">
      <c r="D2178" s="2"/>
      <c r="E2178" s="2"/>
    </row>
    <row r="2179" spans="4:5" x14ac:dyDescent="0.25">
      <c r="D2179" s="2"/>
      <c r="E2179" s="2"/>
    </row>
    <row r="2180" spans="4:5" x14ac:dyDescent="0.25">
      <c r="D2180" s="2"/>
      <c r="E2180" s="2"/>
    </row>
    <row r="2181" spans="4:5" x14ac:dyDescent="0.25">
      <c r="D2181" s="2"/>
      <c r="E2181" s="2"/>
    </row>
    <row r="2182" spans="4:5" x14ac:dyDescent="0.25">
      <c r="D2182" s="2"/>
      <c r="E2182" s="2"/>
    </row>
    <row r="2183" spans="4:5" x14ac:dyDescent="0.25">
      <c r="D2183" s="2"/>
      <c r="E2183" s="2"/>
    </row>
    <row r="2184" spans="4:5" x14ac:dyDescent="0.25">
      <c r="D2184" s="2"/>
      <c r="E2184" s="2"/>
    </row>
    <row r="2185" spans="4:5" x14ac:dyDescent="0.25">
      <c r="D2185" s="2"/>
      <c r="E2185" s="2"/>
    </row>
    <row r="2186" spans="4:5" x14ac:dyDescent="0.25">
      <c r="D2186" s="2"/>
      <c r="E2186" s="2"/>
    </row>
    <row r="2187" spans="4:5" x14ac:dyDescent="0.25">
      <c r="D2187" s="2"/>
      <c r="E2187" s="2"/>
    </row>
    <row r="2188" spans="4:5" x14ac:dyDescent="0.25">
      <c r="D2188" s="2"/>
      <c r="E2188" s="2"/>
    </row>
    <row r="2189" spans="4:5" x14ac:dyDescent="0.25">
      <c r="D2189" s="2"/>
      <c r="E2189" s="2"/>
    </row>
    <row r="2190" spans="4:5" x14ac:dyDescent="0.25">
      <c r="D2190" s="2"/>
      <c r="E2190" s="2"/>
    </row>
    <row r="2191" spans="4:5" x14ac:dyDescent="0.25">
      <c r="D2191" s="2"/>
      <c r="E2191" s="2"/>
    </row>
    <row r="2192" spans="4:5" x14ac:dyDescent="0.25">
      <c r="D2192" s="2"/>
      <c r="E2192" s="2"/>
    </row>
    <row r="2193" spans="4:5" x14ac:dyDescent="0.25">
      <c r="D2193" s="2"/>
      <c r="E2193" s="2"/>
    </row>
    <row r="2194" spans="4:5" x14ac:dyDescent="0.25">
      <c r="D2194" s="2"/>
      <c r="E2194" s="2"/>
    </row>
    <row r="2195" spans="4:5" x14ac:dyDescent="0.25">
      <c r="D2195" s="2"/>
      <c r="E2195" s="2"/>
    </row>
    <row r="2196" spans="4:5" x14ac:dyDescent="0.25">
      <c r="D2196" s="2"/>
      <c r="E2196" s="2"/>
    </row>
    <row r="2197" spans="4:5" x14ac:dyDescent="0.25">
      <c r="D2197" s="2"/>
      <c r="E2197" s="2"/>
    </row>
    <row r="2198" spans="4:5" x14ac:dyDescent="0.25">
      <c r="D2198" s="2"/>
      <c r="E2198" s="2"/>
    </row>
    <row r="2199" spans="4:5" x14ac:dyDescent="0.25">
      <c r="D2199" s="2"/>
      <c r="E2199" s="2"/>
    </row>
    <row r="2200" spans="4:5" x14ac:dyDescent="0.25">
      <c r="D2200" s="2"/>
      <c r="E2200" s="2"/>
    </row>
    <row r="2201" spans="4:5" x14ac:dyDescent="0.25">
      <c r="D2201" s="2"/>
      <c r="E2201" s="2"/>
    </row>
    <row r="2202" spans="4:5" x14ac:dyDescent="0.25">
      <c r="D2202" s="2"/>
      <c r="E2202" s="2"/>
    </row>
    <row r="2203" spans="4:5" x14ac:dyDescent="0.25">
      <c r="D2203" s="2"/>
      <c r="E2203" s="2"/>
    </row>
    <row r="2204" spans="4:5" x14ac:dyDescent="0.25">
      <c r="D2204" s="2"/>
      <c r="E2204" s="2"/>
    </row>
    <row r="2205" spans="4:5" x14ac:dyDescent="0.25">
      <c r="D2205" s="2"/>
      <c r="E2205" s="2"/>
    </row>
    <row r="2206" spans="4:5" x14ac:dyDescent="0.25">
      <c r="D2206" s="2"/>
      <c r="E2206" s="2"/>
    </row>
    <row r="2207" spans="4:5" x14ac:dyDescent="0.25">
      <c r="D2207" s="2"/>
      <c r="E2207" s="2"/>
    </row>
    <row r="2208" spans="4:5" x14ac:dyDescent="0.25">
      <c r="D2208" s="2"/>
      <c r="E2208" s="2"/>
    </row>
    <row r="2209" spans="4:5" x14ac:dyDescent="0.25">
      <c r="D2209" s="2"/>
      <c r="E2209" s="2"/>
    </row>
    <row r="2210" spans="4:5" x14ac:dyDescent="0.25">
      <c r="D2210" s="2"/>
      <c r="E2210" s="2"/>
    </row>
    <row r="2211" spans="4:5" x14ac:dyDescent="0.25">
      <c r="D2211" s="2"/>
      <c r="E2211" s="2"/>
    </row>
    <row r="2212" spans="4:5" x14ac:dyDescent="0.25">
      <c r="D2212" s="2"/>
      <c r="E2212" s="2"/>
    </row>
    <row r="2213" spans="4:5" x14ac:dyDescent="0.25">
      <c r="D2213" s="2"/>
      <c r="E2213" s="2"/>
    </row>
    <row r="2214" spans="4:5" x14ac:dyDescent="0.25">
      <c r="D2214" s="2"/>
      <c r="E2214" s="2"/>
    </row>
    <row r="2215" spans="4:5" x14ac:dyDescent="0.25">
      <c r="D2215" s="2"/>
      <c r="E2215" s="2"/>
    </row>
    <row r="2216" spans="4:5" x14ac:dyDescent="0.25">
      <c r="D2216" s="2"/>
      <c r="E2216" s="2"/>
    </row>
    <row r="2217" spans="4:5" x14ac:dyDescent="0.25">
      <c r="D2217" s="2"/>
      <c r="E2217" s="2"/>
    </row>
    <row r="2218" spans="4:5" x14ac:dyDescent="0.25">
      <c r="D2218" s="2"/>
      <c r="E2218" s="2"/>
    </row>
    <row r="2219" spans="4:5" x14ac:dyDescent="0.25">
      <c r="D2219" s="2"/>
      <c r="E2219" s="2"/>
    </row>
    <row r="2220" spans="4:5" x14ac:dyDescent="0.25">
      <c r="D2220" s="2"/>
      <c r="E2220" s="2"/>
    </row>
    <row r="2221" spans="4:5" x14ac:dyDescent="0.25">
      <c r="D2221" s="2"/>
      <c r="E2221" s="2"/>
    </row>
    <row r="2222" spans="4:5" x14ac:dyDescent="0.25">
      <c r="D2222" s="2"/>
      <c r="E2222" s="2"/>
    </row>
    <row r="2223" spans="4:5" x14ac:dyDescent="0.25">
      <c r="D2223" s="2"/>
      <c r="E2223" s="2"/>
    </row>
    <row r="2224" spans="4:5" x14ac:dyDescent="0.25">
      <c r="D2224" s="2"/>
      <c r="E2224" s="2"/>
    </row>
    <row r="2225" spans="4:5" x14ac:dyDescent="0.25">
      <c r="D2225" s="2"/>
      <c r="E2225" s="2"/>
    </row>
    <row r="2226" spans="4:5" x14ac:dyDescent="0.25">
      <c r="D2226" s="2"/>
      <c r="E2226" s="2"/>
    </row>
    <row r="2227" spans="4:5" x14ac:dyDescent="0.25">
      <c r="D2227" s="2"/>
      <c r="E2227" s="2"/>
    </row>
    <row r="2228" spans="4:5" x14ac:dyDescent="0.25">
      <c r="D2228" s="2"/>
      <c r="E2228" s="2"/>
    </row>
    <row r="2229" spans="4:5" x14ac:dyDescent="0.25">
      <c r="D2229" s="2"/>
      <c r="E2229" s="2"/>
    </row>
    <row r="2230" spans="4:5" x14ac:dyDescent="0.25">
      <c r="D2230" s="2"/>
      <c r="E2230" s="2"/>
    </row>
    <row r="2231" spans="4:5" x14ac:dyDescent="0.25">
      <c r="D2231" s="2"/>
      <c r="E2231" s="2"/>
    </row>
    <row r="2232" spans="4:5" x14ac:dyDescent="0.25">
      <c r="D2232" s="2"/>
      <c r="E2232" s="2"/>
    </row>
    <row r="2233" spans="4:5" x14ac:dyDescent="0.25">
      <c r="D2233" s="2"/>
      <c r="E2233" s="2"/>
    </row>
    <row r="2234" spans="4:5" x14ac:dyDescent="0.25">
      <c r="D2234" s="2"/>
      <c r="E2234" s="2"/>
    </row>
    <row r="2235" spans="4:5" x14ac:dyDescent="0.25">
      <c r="D2235" s="2"/>
      <c r="E2235" s="2"/>
    </row>
    <row r="2236" spans="4:5" x14ac:dyDescent="0.25">
      <c r="D2236" s="2"/>
      <c r="E2236" s="2"/>
    </row>
    <row r="2237" spans="4:5" x14ac:dyDescent="0.25">
      <c r="D2237" s="2"/>
      <c r="E2237" s="2"/>
    </row>
    <row r="2238" spans="4:5" x14ac:dyDescent="0.25">
      <c r="D2238" s="2"/>
      <c r="E2238" s="2"/>
    </row>
    <row r="2239" spans="4:5" x14ac:dyDescent="0.25">
      <c r="D2239" s="2"/>
      <c r="E2239" s="2"/>
    </row>
    <row r="2240" spans="4:5" x14ac:dyDescent="0.25">
      <c r="D2240" s="2"/>
      <c r="E2240" s="2"/>
    </row>
    <row r="2241" spans="4:5" x14ac:dyDescent="0.25">
      <c r="D2241" s="2"/>
      <c r="E2241" s="2"/>
    </row>
    <row r="2242" spans="4:5" x14ac:dyDescent="0.25">
      <c r="D2242" s="2"/>
      <c r="E2242" s="2"/>
    </row>
    <row r="2243" spans="4:5" x14ac:dyDescent="0.25">
      <c r="D2243" s="2"/>
      <c r="E2243" s="2"/>
    </row>
    <row r="2244" spans="4:5" x14ac:dyDescent="0.25">
      <c r="D2244" s="2"/>
      <c r="E2244" s="2"/>
    </row>
    <row r="2245" spans="4:5" x14ac:dyDescent="0.25">
      <c r="D2245" s="2"/>
      <c r="E2245" s="2"/>
    </row>
    <row r="2246" spans="4:5" x14ac:dyDescent="0.25">
      <c r="D2246" s="2"/>
      <c r="E2246" s="2"/>
    </row>
    <row r="2247" spans="4:5" x14ac:dyDescent="0.25">
      <c r="D2247" s="2"/>
      <c r="E2247" s="2"/>
    </row>
    <row r="2248" spans="4:5" x14ac:dyDescent="0.25">
      <c r="D2248" s="2"/>
      <c r="E2248" s="2"/>
    </row>
    <row r="2249" spans="4:5" x14ac:dyDescent="0.25">
      <c r="D2249" s="2"/>
      <c r="E2249" s="2"/>
    </row>
    <row r="2250" spans="4:5" x14ac:dyDescent="0.25">
      <c r="D2250" s="2"/>
      <c r="E2250" s="2"/>
    </row>
    <row r="2251" spans="4:5" x14ac:dyDescent="0.25">
      <c r="D2251" s="2"/>
      <c r="E2251" s="2"/>
    </row>
    <row r="2252" spans="4:5" x14ac:dyDescent="0.25">
      <c r="D2252" s="2"/>
      <c r="E2252" s="2"/>
    </row>
    <row r="2253" spans="4:5" x14ac:dyDescent="0.25">
      <c r="D2253" s="2"/>
      <c r="E2253" s="2"/>
    </row>
    <row r="2254" spans="4:5" x14ac:dyDescent="0.25">
      <c r="D2254" s="2"/>
      <c r="E2254" s="2"/>
    </row>
    <row r="2255" spans="4:5" x14ac:dyDescent="0.25">
      <c r="D2255" s="2"/>
      <c r="E2255" s="2"/>
    </row>
    <row r="2256" spans="4:5" x14ac:dyDescent="0.25">
      <c r="D2256" s="2"/>
      <c r="E2256" s="2"/>
    </row>
    <row r="2257" spans="4:5" x14ac:dyDescent="0.25">
      <c r="D2257" s="2"/>
      <c r="E2257" s="2"/>
    </row>
    <row r="2258" spans="4:5" x14ac:dyDescent="0.25">
      <c r="D2258" s="2"/>
      <c r="E2258" s="2"/>
    </row>
    <row r="2259" spans="4:5" x14ac:dyDescent="0.25">
      <c r="D2259" s="2"/>
      <c r="E2259" s="2"/>
    </row>
    <row r="2260" spans="4:5" x14ac:dyDescent="0.25">
      <c r="D2260" s="2"/>
      <c r="E2260" s="2"/>
    </row>
    <row r="2261" spans="4:5" x14ac:dyDescent="0.25">
      <c r="D2261" s="2"/>
      <c r="E2261" s="2"/>
    </row>
    <row r="2262" spans="4:5" x14ac:dyDescent="0.25">
      <c r="D2262" s="2"/>
      <c r="E2262" s="2"/>
    </row>
    <row r="2263" spans="4:5" x14ac:dyDescent="0.25">
      <c r="D2263" s="2"/>
      <c r="E2263" s="2"/>
    </row>
    <row r="2264" spans="4:5" x14ac:dyDescent="0.25">
      <c r="D2264" s="2"/>
      <c r="E2264" s="2"/>
    </row>
    <row r="2265" spans="4:5" x14ac:dyDescent="0.25">
      <c r="D2265" s="2"/>
      <c r="E2265" s="2"/>
    </row>
    <row r="2266" spans="4:5" x14ac:dyDescent="0.25">
      <c r="D2266" s="2"/>
      <c r="E2266" s="2"/>
    </row>
    <row r="2267" spans="4:5" x14ac:dyDescent="0.25">
      <c r="D2267" s="2"/>
      <c r="E2267" s="2"/>
    </row>
    <row r="2268" spans="4:5" x14ac:dyDescent="0.25">
      <c r="D2268" s="2"/>
      <c r="E2268" s="2"/>
    </row>
    <row r="2269" spans="4:5" x14ac:dyDescent="0.25">
      <c r="D2269" s="2"/>
      <c r="E2269" s="2"/>
    </row>
    <row r="2270" spans="4:5" x14ac:dyDescent="0.25">
      <c r="D2270" s="2"/>
      <c r="E2270" s="2"/>
    </row>
    <row r="2271" spans="4:5" x14ac:dyDescent="0.25">
      <c r="D2271" s="2"/>
      <c r="E2271" s="2"/>
    </row>
    <row r="2272" spans="4:5" x14ac:dyDescent="0.25">
      <c r="D2272" s="2"/>
      <c r="E2272" s="2"/>
    </row>
    <row r="2273" spans="4:5" x14ac:dyDescent="0.25">
      <c r="D2273" s="2"/>
      <c r="E2273" s="2"/>
    </row>
    <row r="2274" spans="4:5" x14ac:dyDescent="0.25">
      <c r="D2274" s="2"/>
      <c r="E2274" s="2"/>
    </row>
    <row r="2275" spans="4:5" x14ac:dyDescent="0.25">
      <c r="D2275" s="2"/>
      <c r="E2275" s="2"/>
    </row>
    <row r="2276" spans="4:5" x14ac:dyDescent="0.25">
      <c r="D2276" s="2"/>
      <c r="E2276" s="2"/>
    </row>
    <row r="2277" spans="4:5" x14ac:dyDescent="0.25">
      <c r="D2277" s="2"/>
      <c r="E2277" s="2"/>
    </row>
    <row r="2278" spans="4:5" x14ac:dyDescent="0.25">
      <c r="D2278" s="2"/>
      <c r="E2278" s="2"/>
    </row>
    <row r="2279" spans="4:5" x14ac:dyDescent="0.25">
      <c r="D2279" s="2"/>
      <c r="E2279" s="2"/>
    </row>
    <row r="2280" spans="4:5" x14ac:dyDescent="0.25">
      <c r="D2280" s="2"/>
      <c r="E2280" s="2"/>
    </row>
    <row r="2281" spans="4:5" x14ac:dyDescent="0.25">
      <c r="D2281" s="2"/>
      <c r="E2281" s="2"/>
    </row>
    <row r="2282" spans="4:5" x14ac:dyDescent="0.25">
      <c r="D2282" s="2"/>
      <c r="E2282" s="2"/>
    </row>
    <row r="2283" spans="4:5" x14ac:dyDescent="0.25">
      <c r="D2283" s="2"/>
      <c r="E2283" s="2"/>
    </row>
    <row r="2284" spans="4:5" x14ac:dyDescent="0.25">
      <c r="D2284" s="2"/>
      <c r="E2284" s="2"/>
    </row>
    <row r="2285" spans="4:5" x14ac:dyDescent="0.25">
      <c r="D2285" s="2"/>
      <c r="E2285" s="2"/>
    </row>
    <row r="2286" spans="4:5" x14ac:dyDescent="0.25">
      <c r="D2286" s="2"/>
      <c r="E2286" s="2"/>
    </row>
    <row r="2287" spans="4:5" x14ac:dyDescent="0.25">
      <c r="D2287" s="2"/>
      <c r="E2287" s="2"/>
    </row>
    <row r="2288" spans="4:5" x14ac:dyDescent="0.25">
      <c r="D2288" s="2"/>
      <c r="E2288" s="2"/>
    </row>
    <row r="2289" spans="4:5" x14ac:dyDescent="0.25">
      <c r="D2289" s="2"/>
      <c r="E2289" s="2"/>
    </row>
    <row r="2290" spans="4:5" x14ac:dyDescent="0.25">
      <c r="D2290" s="2"/>
      <c r="E2290" s="2"/>
    </row>
    <row r="2291" spans="4:5" x14ac:dyDescent="0.25">
      <c r="D2291" s="2"/>
      <c r="E2291" s="2"/>
    </row>
    <row r="2292" spans="4:5" x14ac:dyDescent="0.25">
      <c r="D2292" s="2"/>
      <c r="E2292" s="2"/>
    </row>
    <row r="2293" spans="4:5" x14ac:dyDescent="0.25">
      <c r="D2293" s="2"/>
      <c r="E2293" s="2"/>
    </row>
    <row r="2294" spans="4:5" x14ac:dyDescent="0.25">
      <c r="D2294" s="2"/>
      <c r="E2294" s="2"/>
    </row>
    <row r="2295" spans="4:5" x14ac:dyDescent="0.25">
      <c r="D2295" s="2"/>
      <c r="E2295" s="2"/>
    </row>
    <row r="2296" spans="4:5" x14ac:dyDescent="0.25">
      <c r="D2296" s="2"/>
      <c r="E2296" s="2"/>
    </row>
    <row r="2297" spans="4:5" x14ac:dyDescent="0.25">
      <c r="D2297" s="2"/>
      <c r="E2297" s="2"/>
    </row>
    <row r="2298" spans="4:5" x14ac:dyDescent="0.25">
      <c r="D2298" s="2"/>
      <c r="E2298" s="2"/>
    </row>
    <row r="2299" spans="4:5" x14ac:dyDescent="0.25">
      <c r="D2299" s="2"/>
      <c r="E2299" s="2"/>
    </row>
    <row r="2300" spans="4:5" x14ac:dyDescent="0.25">
      <c r="D2300" s="2"/>
      <c r="E2300" s="2"/>
    </row>
    <row r="2301" spans="4:5" x14ac:dyDescent="0.25">
      <c r="D2301" s="2"/>
      <c r="E2301" s="2"/>
    </row>
    <row r="2302" spans="4:5" x14ac:dyDescent="0.25">
      <c r="D2302" s="2"/>
      <c r="E2302" s="2"/>
    </row>
    <row r="2303" spans="4:5" x14ac:dyDescent="0.25">
      <c r="D2303" s="2"/>
      <c r="E2303" s="2"/>
    </row>
    <row r="2304" spans="4:5" x14ac:dyDescent="0.25">
      <c r="D2304" s="2"/>
      <c r="E2304" s="2"/>
    </row>
    <row r="2305" spans="4:5" x14ac:dyDescent="0.25">
      <c r="D2305" s="2"/>
      <c r="E2305" s="2"/>
    </row>
    <row r="2306" spans="4:5" x14ac:dyDescent="0.25">
      <c r="D2306" s="2"/>
      <c r="E2306" s="2"/>
    </row>
    <row r="2307" spans="4:5" x14ac:dyDescent="0.25">
      <c r="D2307" s="2"/>
      <c r="E2307" s="2"/>
    </row>
    <row r="2308" spans="4:5" x14ac:dyDescent="0.25">
      <c r="D2308" s="2"/>
      <c r="E2308" s="2"/>
    </row>
    <row r="2309" spans="4:5" x14ac:dyDescent="0.25">
      <c r="D2309" s="2"/>
      <c r="E2309" s="2"/>
    </row>
    <row r="2310" spans="4:5" x14ac:dyDescent="0.25">
      <c r="D2310" s="2"/>
      <c r="E2310" s="2"/>
    </row>
    <row r="2311" spans="4:5" x14ac:dyDescent="0.25">
      <c r="D2311" s="2"/>
      <c r="E2311" s="2"/>
    </row>
    <row r="2312" spans="4:5" x14ac:dyDescent="0.25">
      <c r="D2312" s="2"/>
      <c r="E2312" s="2"/>
    </row>
    <row r="2313" spans="4:5" x14ac:dyDescent="0.25">
      <c r="D2313" s="2"/>
      <c r="E2313" s="2"/>
    </row>
    <row r="2314" spans="4:5" x14ac:dyDescent="0.25">
      <c r="D2314" s="2"/>
      <c r="E2314" s="2"/>
    </row>
    <row r="2315" spans="4:5" x14ac:dyDescent="0.25">
      <c r="D2315" s="2"/>
      <c r="E2315" s="2"/>
    </row>
    <row r="2316" spans="4:5" x14ac:dyDescent="0.25">
      <c r="D2316" s="2"/>
      <c r="E2316" s="2"/>
    </row>
    <row r="2317" spans="4:5" x14ac:dyDescent="0.25">
      <c r="D2317" s="2"/>
      <c r="E2317" s="2"/>
    </row>
    <row r="2318" spans="4:5" x14ac:dyDescent="0.25">
      <c r="D2318" s="2"/>
      <c r="E2318" s="2"/>
    </row>
    <row r="2319" spans="4:5" x14ac:dyDescent="0.25">
      <c r="D2319" s="2"/>
      <c r="E2319" s="2"/>
    </row>
    <row r="2320" spans="4:5" x14ac:dyDescent="0.25">
      <c r="D2320" s="2"/>
      <c r="E2320" s="2"/>
    </row>
    <row r="2321" spans="4:5" x14ac:dyDescent="0.25">
      <c r="D2321" s="2"/>
      <c r="E2321" s="2"/>
    </row>
    <row r="2322" spans="4:5" x14ac:dyDescent="0.25">
      <c r="D2322" s="2"/>
      <c r="E2322" s="2"/>
    </row>
    <row r="2323" spans="4:5" x14ac:dyDescent="0.25">
      <c r="D2323" s="2"/>
      <c r="E2323" s="2"/>
    </row>
    <row r="2324" spans="4:5" x14ac:dyDescent="0.25">
      <c r="D2324" s="2"/>
      <c r="E2324" s="2"/>
    </row>
    <row r="2325" spans="4:5" x14ac:dyDescent="0.25">
      <c r="D2325" s="2"/>
      <c r="E2325" s="2"/>
    </row>
    <row r="2326" spans="4:5" x14ac:dyDescent="0.25">
      <c r="D2326" s="2"/>
      <c r="E2326" s="2"/>
    </row>
    <row r="2327" spans="4:5" x14ac:dyDescent="0.25">
      <c r="D2327" s="2"/>
      <c r="E2327" s="2"/>
    </row>
    <row r="2328" spans="4:5" x14ac:dyDescent="0.25">
      <c r="D2328" s="2"/>
      <c r="E2328" s="2"/>
    </row>
    <row r="2329" spans="4:5" x14ac:dyDescent="0.25">
      <c r="D2329" s="2"/>
      <c r="E2329" s="2"/>
    </row>
    <row r="2330" spans="4:5" x14ac:dyDescent="0.25">
      <c r="D2330" s="2"/>
      <c r="E2330" s="2"/>
    </row>
    <row r="2331" spans="4:5" x14ac:dyDescent="0.25">
      <c r="D2331" s="2"/>
      <c r="E2331" s="2"/>
    </row>
    <row r="2332" spans="4:5" x14ac:dyDescent="0.25">
      <c r="D2332" s="2"/>
      <c r="E2332" s="2"/>
    </row>
    <row r="2333" spans="4:5" x14ac:dyDescent="0.25">
      <c r="D2333" s="2"/>
      <c r="E2333" s="2"/>
    </row>
    <row r="2334" spans="4:5" x14ac:dyDescent="0.25">
      <c r="D2334" s="2"/>
      <c r="E2334" s="2"/>
    </row>
    <row r="2335" spans="4:5" x14ac:dyDescent="0.25">
      <c r="D2335" s="2"/>
      <c r="E2335" s="2"/>
    </row>
    <row r="2336" spans="4:5" x14ac:dyDescent="0.25">
      <c r="D2336" s="2"/>
      <c r="E2336" s="2"/>
    </row>
    <row r="2337" spans="4:5" x14ac:dyDescent="0.25">
      <c r="D2337" s="2"/>
      <c r="E2337" s="2"/>
    </row>
    <row r="2338" spans="4:5" x14ac:dyDescent="0.25">
      <c r="D2338" s="2"/>
      <c r="E2338" s="2"/>
    </row>
    <row r="2339" spans="4:5" x14ac:dyDescent="0.25">
      <c r="D2339" s="2"/>
      <c r="E2339" s="2"/>
    </row>
    <row r="2340" spans="4:5" x14ac:dyDescent="0.25">
      <c r="D2340" s="2"/>
      <c r="E2340" s="2"/>
    </row>
    <row r="2341" spans="4:5" x14ac:dyDescent="0.25">
      <c r="D2341" s="2"/>
      <c r="E2341" s="2"/>
    </row>
    <row r="2342" spans="4:5" x14ac:dyDescent="0.25">
      <c r="D2342" s="2"/>
      <c r="E2342" s="2"/>
    </row>
    <row r="2343" spans="4:5" x14ac:dyDescent="0.25">
      <c r="D2343" s="2"/>
      <c r="E2343" s="2"/>
    </row>
    <row r="2344" spans="4:5" x14ac:dyDescent="0.25">
      <c r="D2344" s="2"/>
      <c r="E2344" s="2"/>
    </row>
    <row r="2345" spans="4:5" x14ac:dyDescent="0.25">
      <c r="D2345" s="2"/>
      <c r="E2345" s="2"/>
    </row>
    <row r="2346" spans="4:5" x14ac:dyDescent="0.25">
      <c r="D2346" s="2"/>
      <c r="E2346" s="2"/>
    </row>
    <row r="2347" spans="4:5" x14ac:dyDescent="0.25">
      <c r="D2347" s="2"/>
      <c r="E2347" s="2"/>
    </row>
    <row r="2348" spans="4:5" x14ac:dyDescent="0.25">
      <c r="D2348" s="2"/>
      <c r="E2348" s="2"/>
    </row>
    <row r="2349" spans="4:5" x14ac:dyDescent="0.25">
      <c r="D2349" s="2"/>
      <c r="E2349" s="2"/>
    </row>
    <row r="2350" spans="4:5" x14ac:dyDescent="0.25">
      <c r="D2350" s="2"/>
      <c r="E2350" s="2"/>
    </row>
    <row r="2351" spans="4:5" x14ac:dyDescent="0.25">
      <c r="D2351" s="2"/>
      <c r="E2351" s="2"/>
    </row>
    <row r="2352" spans="4:5" x14ac:dyDescent="0.25">
      <c r="D2352" s="2"/>
      <c r="E2352" s="2"/>
    </row>
    <row r="2353" spans="4:5" x14ac:dyDescent="0.25">
      <c r="D2353" s="2"/>
      <c r="E2353" s="2"/>
    </row>
    <row r="2354" spans="4:5" x14ac:dyDescent="0.25">
      <c r="D2354" s="2"/>
      <c r="E2354" s="2"/>
    </row>
    <row r="2355" spans="4:5" x14ac:dyDescent="0.25">
      <c r="D2355" s="2"/>
      <c r="E2355" s="2"/>
    </row>
    <row r="2356" spans="4:5" x14ac:dyDescent="0.25">
      <c r="D2356" s="2"/>
      <c r="E2356" s="2"/>
    </row>
    <row r="2357" spans="4:5" x14ac:dyDescent="0.25">
      <c r="D2357" s="2"/>
      <c r="E2357" s="2"/>
    </row>
    <row r="2358" spans="4:5" x14ac:dyDescent="0.25">
      <c r="D2358" s="2"/>
      <c r="E2358" s="2"/>
    </row>
    <row r="2359" spans="4:5" x14ac:dyDescent="0.25">
      <c r="D2359" s="2"/>
      <c r="E2359" s="2"/>
    </row>
    <row r="2360" spans="4:5" x14ac:dyDescent="0.25">
      <c r="D2360" s="2"/>
      <c r="E2360" s="2"/>
    </row>
    <row r="2361" spans="4:5" x14ac:dyDescent="0.25">
      <c r="D2361" s="2"/>
      <c r="E2361" s="2"/>
    </row>
    <row r="2362" spans="4:5" x14ac:dyDescent="0.25">
      <c r="D2362" s="2"/>
      <c r="E2362" s="2"/>
    </row>
    <row r="2363" spans="4:5" x14ac:dyDescent="0.25">
      <c r="D2363" s="2"/>
      <c r="E2363" s="2"/>
    </row>
    <row r="2364" spans="4:5" x14ac:dyDescent="0.25">
      <c r="D2364" s="2"/>
      <c r="E2364" s="2"/>
    </row>
    <row r="2365" spans="4:5" x14ac:dyDescent="0.25">
      <c r="D2365" s="2"/>
      <c r="E2365" s="2"/>
    </row>
    <row r="2366" spans="4:5" x14ac:dyDescent="0.25">
      <c r="D2366" s="2"/>
      <c r="E2366" s="2"/>
    </row>
    <row r="2367" spans="4:5" x14ac:dyDescent="0.25">
      <c r="D2367" s="2"/>
      <c r="E2367" s="2"/>
    </row>
    <row r="2368" spans="4:5" x14ac:dyDescent="0.25">
      <c r="D2368" s="2"/>
      <c r="E2368" s="2"/>
    </row>
    <row r="2369" spans="4:5" x14ac:dyDescent="0.25">
      <c r="D2369" s="2"/>
      <c r="E2369" s="2"/>
    </row>
    <row r="2370" spans="4:5" x14ac:dyDescent="0.25">
      <c r="D2370" s="2"/>
      <c r="E2370" s="2"/>
    </row>
    <row r="2371" spans="4:5" x14ac:dyDescent="0.25">
      <c r="D2371" s="2"/>
      <c r="E2371" s="2"/>
    </row>
    <row r="2372" spans="4:5" x14ac:dyDescent="0.25">
      <c r="D2372" s="2"/>
      <c r="E2372" s="2"/>
    </row>
    <row r="2373" spans="4:5" x14ac:dyDescent="0.25">
      <c r="D2373" s="2"/>
      <c r="E2373" s="2"/>
    </row>
    <row r="2374" spans="4:5" x14ac:dyDescent="0.25">
      <c r="D2374" s="2"/>
      <c r="E2374" s="2"/>
    </row>
    <row r="2375" spans="4:5" x14ac:dyDescent="0.25">
      <c r="D2375" s="2"/>
      <c r="E2375" s="2"/>
    </row>
    <row r="2376" spans="4:5" x14ac:dyDescent="0.25">
      <c r="D2376" s="2"/>
      <c r="E2376" s="2"/>
    </row>
    <row r="2377" spans="4:5" x14ac:dyDescent="0.25">
      <c r="D2377" s="2"/>
      <c r="E2377" s="2"/>
    </row>
    <row r="2378" spans="4:5" x14ac:dyDescent="0.25">
      <c r="D2378" s="2"/>
      <c r="E2378" s="2"/>
    </row>
    <row r="2379" spans="4:5" x14ac:dyDescent="0.25">
      <c r="D2379" s="2"/>
      <c r="E2379" s="2"/>
    </row>
    <row r="2380" spans="4:5" x14ac:dyDescent="0.25">
      <c r="D2380" s="2"/>
      <c r="E2380" s="2"/>
    </row>
    <row r="2381" spans="4:5" x14ac:dyDescent="0.25">
      <c r="D2381" s="2"/>
      <c r="E2381" s="2"/>
    </row>
    <row r="2382" spans="4:5" x14ac:dyDescent="0.25">
      <c r="D2382" s="2"/>
      <c r="E2382" s="2"/>
    </row>
    <row r="2383" spans="4:5" x14ac:dyDescent="0.25">
      <c r="D2383" s="2"/>
      <c r="E2383" s="2"/>
    </row>
    <row r="2384" spans="4:5" x14ac:dyDescent="0.25">
      <c r="D2384" s="2"/>
      <c r="E2384" s="2"/>
    </row>
    <row r="2385" spans="4:5" x14ac:dyDescent="0.25">
      <c r="D2385" s="2"/>
      <c r="E2385" s="2"/>
    </row>
    <row r="2386" spans="4:5" x14ac:dyDescent="0.25">
      <c r="D2386" s="2"/>
      <c r="E2386" s="2"/>
    </row>
    <row r="2387" spans="4:5" x14ac:dyDescent="0.25">
      <c r="D2387" s="2"/>
      <c r="E2387" s="2"/>
    </row>
    <row r="2388" spans="4:5" x14ac:dyDescent="0.25">
      <c r="D2388" s="2"/>
      <c r="E2388" s="2"/>
    </row>
    <row r="2389" spans="4:5" x14ac:dyDescent="0.25">
      <c r="D2389" s="2"/>
      <c r="E2389" s="2"/>
    </row>
    <row r="2390" spans="4:5" x14ac:dyDescent="0.25">
      <c r="D2390" s="2"/>
      <c r="E2390" s="2"/>
    </row>
    <row r="2391" spans="4:5" x14ac:dyDescent="0.25">
      <c r="D2391" s="2"/>
      <c r="E2391" s="2"/>
    </row>
    <row r="2392" spans="4:5" x14ac:dyDescent="0.25">
      <c r="D2392" s="2"/>
      <c r="E2392" s="2"/>
    </row>
    <row r="2393" spans="4:5" x14ac:dyDescent="0.25">
      <c r="D2393" s="2"/>
      <c r="E2393" s="2"/>
    </row>
    <row r="2394" spans="4:5" x14ac:dyDescent="0.25">
      <c r="D2394" s="2"/>
      <c r="E2394" s="2"/>
    </row>
    <row r="2395" spans="4:5" x14ac:dyDescent="0.25">
      <c r="D2395" s="2"/>
      <c r="E2395" s="2"/>
    </row>
    <row r="2396" spans="4:5" x14ac:dyDescent="0.25">
      <c r="D2396" s="2"/>
      <c r="E2396" s="2"/>
    </row>
    <row r="2397" spans="4:5" x14ac:dyDescent="0.25">
      <c r="D2397" s="2"/>
      <c r="E2397" s="2"/>
    </row>
    <row r="2398" spans="4:5" x14ac:dyDescent="0.25">
      <c r="D2398" s="2"/>
      <c r="E2398" s="2"/>
    </row>
    <row r="2399" spans="4:5" x14ac:dyDescent="0.25">
      <c r="D2399" s="2"/>
      <c r="E2399" s="2"/>
    </row>
    <row r="2400" spans="4:5" x14ac:dyDescent="0.25">
      <c r="D2400" s="2"/>
      <c r="E2400" s="2"/>
    </row>
    <row r="2401" spans="4:5" x14ac:dyDescent="0.25">
      <c r="D2401" s="2"/>
      <c r="E2401" s="2"/>
    </row>
    <row r="2402" spans="4:5" x14ac:dyDescent="0.25">
      <c r="D2402" s="2"/>
      <c r="E2402" s="2"/>
    </row>
    <row r="2403" spans="4:5" x14ac:dyDescent="0.25">
      <c r="D2403" s="2"/>
      <c r="E2403" s="2"/>
    </row>
    <row r="2404" spans="4:5" x14ac:dyDescent="0.25">
      <c r="D2404" s="2"/>
      <c r="E2404" s="2"/>
    </row>
    <row r="2405" spans="4:5" x14ac:dyDescent="0.25">
      <c r="D2405" s="2"/>
      <c r="E2405" s="2"/>
    </row>
    <row r="2406" spans="4:5" x14ac:dyDescent="0.25">
      <c r="D2406" s="2"/>
      <c r="E2406" s="2"/>
    </row>
    <row r="2407" spans="4:5" x14ac:dyDescent="0.25">
      <c r="D2407" s="2"/>
      <c r="E2407" s="2"/>
    </row>
    <row r="2408" spans="4:5" x14ac:dyDescent="0.25">
      <c r="D2408" s="2"/>
      <c r="E2408" s="2"/>
    </row>
    <row r="2409" spans="4:5" x14ac:dyDescent="0.25">
      <c r="D2409" s="2"/>
      <c r="E2409" s="2"/>
    </row>
    <row r="2410" spans="4:5" x14ac:dyDescent="0.25">
      <c r="D2410" s="2"/>
      <c r="E2410" s="2"/>
    </row>
    <row r="2411" spans="4:5" x14ac:dyDescent="0.25">
      <c r="D2411" s="2"/>
      <c r="E2411" s="2"/>
    </row>
    <row r="2412" spans="4:5" x14ac:dyDescent="0.25">
      <c r="D2412" s="2"/>
      <c r="E2412" s="2"/>
    </row>
    <row r="2413" spans="4:5" x14ac:dyDescent="0.25">
      <c r="D2413" s="2"/>
      <c r="E2413" s="2"/>
    </row>
    <row r="2414" spans="4:5" x14ac:dyDescent="0.25">
      <c r="D2414" s="2"/>
      <c r="E2414" s="2"/>
    </row>
    <row r="2415" spans="4:5" x14ac:dyDescent="0.25">
      <c r="D2415" s="2"/>
      <c r="E2415" s="2"/>
    </row>
    <row r="2416" spans="4:5" x14ac:dyDescent="0.25">
      <c r="D2416" s="2"/>
      <c r="E2416" s="2"/>
    </row>
    <row r="2417" spans="4:5" x14ac:dyDescent="0.25">
      <c r="D2417" s="2"/>
      <c r="E2417" s="2"/>
    </row>
    <row r="2418" spans="4:5" x14ac:dyDescent="0.25">
      <c r="D2418" s="2"/>
      <c r="E2418" s="2"/>
    </row>
    <row r="2419" spans="4:5" x14ac:dyDescent="0.25">
      <c r="D2419" s="2"/>
      <c r="E2419" s="2"/>
    </row>
    <row r="2420" spans="4:5" x14ac:dyDescent="0.25">
      <c r="D2420" s="2"/>
      <c r="E2420" s="2"/>
    </row>
    <row r="2421" spans="4:5" x14ac:dyDescent="0.25">
      <c r="D2421" s="2"/>
      <c r="E2421" s="2"/>
    </row>
    <row r="2422" spans="4:5" x14ac:dyDescent="0.25">
      <c r="D2422" s="2"/>
      <c r="E2422" s="2"/>
    </row>
    <row r="2423" spans="4:5" x14ac:dyDescent="0.25">
      <c r="D2423" s="2"/>
      <c r="E2423" s="2"/>
    </row>
    <row r="2424" spans="4:5" x14ac:dyDescent="0.25">
      <c r="D2424" s="2"/>
      <c r="E2424" s="2"/>
    </row>
    <row r="2425" spans="4:5" x14ac:dyDescent="0.25">
      <c r="D2425" s="2"/>
      <c r="E2425" s="2"/>
    </row>
    <row r="2426" spans="4:5" x14ac:dyDescent="0.25">
      <c r="D2426" s="2"/>
      <c r="E2426" s="2"/>
    </row>
    <row r="2427" spans="4:5" x14ac:dyDescent="0.25">
      <c r="D2427" s="2"/>
      <c r="E2427" s="2"/>
    </row>
    <row r="2428" spans="4:5" x14ac:dyDescent="0.25">
      <c r="D2428" s="2"/>
      <c r="E2428" s="2"/>
    </row>
    <row r="2429" spans="4:5" x14ac:dyDescent="0.25">
      <c r="D2429" s="2"/>
      <c r="E2429" s="2"/>
    </row>
    <row r="2430" spans="4:5" x14ac:dyDescent="0.25">
      <c r="D2430" s="2"/>
      <c r="E2430" s="2"/>
    </row>
    <row r="2431" spans="4:5" x14ac:dyDescent="0.25">
      <c r="D2431" s="2"/>
      <c r="E2431" s="2"/>
    </row>
    <row r="2432" spans="4:5" x14ac:dyDescent="0.25">
      <c r="D2432" s="2"/>
      <c r="E2432" s="2"/>
    </row>
    <row r="2433" spans="4:5" x14ac:dyDescent="0.25">
      <c r="D2433" s="2"/>
      <c r="E2433" s="2"/>
    </row>
    <row r="2434" spans="4:5" x14ac:dyDescent="0.25">
      <c r="D2434" s="2"/>
      <c r="E2434" s="2"/>
    </row>
    <row r="2435" spans="4:5" x14ac:dyDescent="0.25">
      <c r="D2435" s="2"/>
      <c r="E2435" s="2"/>
    </row>
    <row r="2436" spans="4:5" x14ac:dyDescent="0.25">
      <c r="D2436" s="2"/>
      <c r="E2436" s="2"/>
    </row>
    <row r="2437" spans="4:5" x14ac:dyDescent="0.25">
      <c r="D2437" s="2"/>
      <c r="E2437" s="2"/>
    </row>
    <row r="2438" spans="4:5" x14ac:dyDescent="0.25">
      <c r="D2438" s="2"/>
      <c r="E2438" s="2"/>
    </row>
    <row r="2439" spans="4:5" x14ac:dyDescent="0.25">
      <c r="D2439" s="2"/>
      <c r="E2439" s="2"/>
    </row>
    <row r="2440" spans="4:5" x14ac:dyDescent="0.25">
      <c r="D2440" s="2"/>
      <c r="E2440" s="2"/>
    </row>
    <row r="2441" spans="4:5" x14ac:dyDescent="0.25">
      <c r="D2441" s="2"/>
      <c r="E2441" s="2"/>
    </row>
    <row r="2442" spans="4:5" x14ac:dyDescent="0.25">
      <c r="D2442" s="2"/>
      <c r="E2442" s="2"/>
    </row>
    <row r="2443" spans="4:5" x14ac:dyDescent="0.25">
      <c r="D2443" s="2"/>
      <c r="E2443" s="2"/>
    </row>
    <row r="2444" spans="4:5" x14ac:dyDescent="0.25">
      <c r="D2444" s="2"/>
      <c r="E2444" s="2"/>
    </row>
    <row r="2445" spans="4:5" x14ac:dyDescent="0.25">
      <c r="D2445" s="2"/>
      <c r="E2445" s="2"/>
    </row>
    <row r="2446" spans="4:5" x14ac:dyDescent="0.25">
      <c r="D2446" s="2"/>
      <c r="E2446" s="2"/>
    </row>
    <row r="2447" spans="4:5" x14ac:dyDescent="0.25">
      <c r="D2447" s="2"/>
      <c r="E2447" s="2"/>
    </row>
    <row r="2448" spans="4:5" x14ac:dyDescent="0.25">
      <c r="D2448" s="2"/>
      <c r="E2448" s="2"/>
    </row>
    <row r="2449" spans="4:5" x14ac:dyDescent="0.25">
      <c r="D2449" s="2"/>
      <c r="E2449" s="2"/>
    </row>
    <row r="2450" spans="4:5" x14ac:dyDescent="0.25">
      <c r="D2450" s="2"/>
      <c r="E2450" s="2"/>
    </row>
    <row r="2451" spans="4:5" x14ac:dyDescent="0.25">
      <c r="D2451" s="2"/>
      <c r="E2451" s="2"/>
    </row>
    <row r="2452" spans="4:5" x14ac:dyDescent="0.25">
      <c r="D2452" s="2"/>
      <c r="E2452" s="2"/>
    </row>
    <row r="2453" spans="4:5" x14ac:dyDescent="0.25">
      <c r="D2453" s="2"/>
      <c r="E2453" s="2"/>
    </row>
    <row r="2454" spans="4:5" x14ac:dyDescent="0.25">
      <c r="D2454" s="2"/>
      <c r="E2454" s="2"/>
    </row>
    <row r="2455" spans="4:5" x14ac:dyDescent="0.25">
      <c r="D2455" s="2"/>
      <c r="E2455" s="2"/>
    </row>
    <row r="2456" spans="4:5" x14ac:dyDescent="0.25">
      <c r="D2456" s="2"/>
      <c r="E2456" s="2"/>
    </row>
    <row r="2457" spans="4:5" x14ac:dyDescent="0.25">
      <c r="D2457" s="2"/>
      <c r="E2457" s="2"/>
    </row>
    <row r="2458" spans="4:5" x14ac:dyDescent="0.25">
      <c r="D2458" s="2"/>
      <c r="E2458" s="2"/>
    </row>
    <row r="2459" spans="4:5" x14ac:dyDescent="0.25">
      <c r="D2459" s="2"/>
      <c r="E2459" s="2"/>
    </row>
    <row r="2460" spans="4:5" x14ac:dyDescent="0.25">
      <c r="D2460" s="2"/>
      <c r="E2460" s="2"/>
    </row>
    <row r="2461" spans="4:5" x14ac:dyDescent="0.25">
      <c r="D2461" s="2"/>
      <c r="E2461" s="2"/>
    </row>
    <row r="2462" spans="4:5" x14ac:dyDescent="0.25">
      <c r="D2462" s="2"/>
      <c r="E2462" s="2"/>
    </row>
    <row r="2463" spans="4:5" x14ac:dyDescent="0.25">
      <c r="D2463" s="2"/>
      <c r="E2463" s="2"/>
    </row>
    <row r="2464" spans="4:5" x14ac:dyDescent="0.25">
      <c r="D2464" s="2"/>
      <c r="E2464" s="2"/>
    </row>
    <row r="2465" spans="4:5" x14ac:dyDescent="0.25">
      <c r="D2465" s="2"/>
      <c r="E2465" s="2"/>
    </row>
    <row r="2466" spans="4:5" x14ac:dyDescent="0.25">
      <c r="D2466" s="2"/>
      <c r="E2466" s="2"/>
    </row>
    <row r="2467" spans="4:5" x14ac:dyDescent="0.25">
      <c r="D2467" s="2"/>
      <c r="E2467" s="2"/>
    </row>
    <row r="2468" spans="4:5" x14ac:dyDescent="0.25">
      <c r="D2468" s="2"/>
      <c r="E2468" s="2"/>
    </row>
    <row r="2469" spans="4:5" x14ac:dyDescent="0.25">
      <c r="D2469" s="2"/>
      <c r="E2469" s="2"/>
    </row>
    <row r="2470" spans="4:5" x14ac:dyDescent="0.25">
      <c r="D2470" s="2"/>
      <c r="E2470" s="2"/>
    </row>
    <row r="2471" spans="4:5" x14ac:dyDescent="0.25">
      <c r="D2471" s="2"/>
      <c r="E2471" s="2"/>
    </row>
    <row r="2472" spans="4:5" x14ac:dyDescent="0.25">
      <c r="D2472" s="2"/>
      <c r="E2472" s="2"/>
    </row>
    <row r="2473" spans="4:5" x14ac:dyDescent="0.25">
      <c r="D2473" s="2"/>
      <c r="E2473" s="2"/>
    </row>
    <row r="2474" spans="4:5" x14ac:dyDescent="0.25">
      <c r="D2474" s="2"/>
      <c r="E2474" s="2"/>
    </row>
    <row r="2475" spans="4:5" x14ac:dyDescent="0.25">
      <c r="D2475" s="2"/>
      <c r="E2475" s="2"/>
    </row>
    <row r="2476" spans="4:5" x14ac:dyDescent="0.25">
      <c r="D2476" s="2"/>
      <c r="E2476" s="2"/>
    </row>
    <row r="2477" spans="4:5" x14ac:dyDescent="0.25">
      <c r="D2477" s="2"/>
      <c r="E2477" s="2"/>
    </row>
    <row r="2478" spans="4:5" x14ac:dyDescent="0.25">
      <c r="D2478" s="2"/>
      <c r="E2478" s="2"/>
    </row>
    <row r="2479" spans="4:5" x14ac:dyDescent="0.25">
      <c r="D2479" s="2"/>
      <c r="E2479" s="2"/>
    </row>
    <row r="2480" spans="4:5" x14ac:dyDescent="0.25">
      <c r="D2480" s="2"/>
      <c r="E2480" s="2"/>
    </row>
    <row r="2481" spans="4:5" x14ac:dyDescent="0.25">
      <c r="D2481" s="2"/>
      <c r="E2481" s="2"/>
    </row>
    <row r="2482" spans="4:5" x14ac:dyDescent="0.25">
      <c r="D2482" s="2"/>
      <c r="E2482" s="2"/>
    </row>
    <row r="2483" spans="4:5" x14ac:dyDescent="0.25">
      <c r="D2483" s="2"/>
      <c r="E2483" s="2"/>
    </row>
    <row r="2484" spans="4:5" x14ac:dyDescent="0.25">
      <c r="D2484" s="2"/>
      <c r="E2484" s="2"/>
    </row>
    <row r="2485" spans="4:5" x14ac:dyDescent="0.25">
      <c r="D2485" s="2"/>
      <c r="E2485" s="2"/>
    </row>
    <row r="2486" spans="4:5" x14ac:dyDescent="0.25">
      <c r="D2486" s="2"/>
      <c r="E2486" s="2"/>
    </row>
    <row r="2487" spans="4:5" x14ac:dyDescent="0.25">
      <c r="D2487" s="2"/>
      <c r="E2487" s="2"/>
    </row>
    <row r="2488" spans="4:5" x14ac:dyDescent="0.25">
      <c r="D2488" s="2"/>
      <c r="E2488" s="2"/>
    </row>
    <row r="2489" spans="4:5" x14ac:dyDescent="0.25">
      <c r="D2489" s="2"/>
      <c r="E2489" s="2"/>
    </row>
    <row r="2490" spans="4:5" x14ac:dyDescent="0.25">
      <c r="D2490" s="2"/>
      <c r="E2490" s="2"/>
    </row>
    <row r="2491" spans="4:5" x14ac:dyDescent="0.25">
      <c r="D2491" s="2"/>
      <c r="E2491" s="2"/>
    </row>
    <row r="2492" spans="4:5" x14ac:dyDescent="0.25">
      <c r="D2492" s="2"/>
      <c r="E2492" s="2"/>
    </row>
    <row r="2493" spans="4:5" x14ac:dyDescent="0.25">
      <c r="D2493" s="2"/>
      <c r="E2493" s="2"/>
    </row>
    <row r="2494" spans="4:5" x14ac:dyDescent="0.25">
      <c r="D2494" s="2"/>
      <c r="E2494" s="2"/>
    </row>
    <row r="2495" spans="4:5" x14ac:dyDescent="0.25">
      <c r="D2495" s="2"/>
      <c r="E2495" s="2"/>
    </row>
    <row r="2496" spans="4:5" x14ac:dyDescent="0.25">
      <c r="D2496" s="2"/>
      <c r="E2496" s="2"/>
    </row>
    <row r="2497" spans="4:5" x14ac:dyDescent="0.25">
      <c r="D2497" s="2"/>
      <c r="E2497" s="2"/>
    </row>
    <row r="2498" spans="4:5" x14ac:dyDescent="0.25">
      <c r="D2498" s="2"/>
      <c r="E2498" s="2"/>
    </row>
    <row r="2499" spans="4:5" x14ac:dyDescent="0.25">
      <c r="D2499" s="2"/>
      <c r="E2499" s="2"/>
    </row>
    <row r="2500" spans="4:5" x14ac:dyDescent="0.25">
      <c r="D2500" s="2"/>
      <c r="E2500" s="2"/>
    </row>
    <row r="2501" spans="4:5" x14ac:dyDescent="0.25">
      <c r="D2501" s="2"/>
      <c r="E2501" s="2"/>
    </row>
    <row r="2502" spans="4:5" x14ac:dyDescent="0.25">
      <c r="D2502" s="2"/>
      <c r="E2502" s="2"/>
    </row>
    <row r="2503" spans="4:5" x14ac:dyDescent="0.25">
      <c r="D2503" s="2"/>
      <c r="E2503" s="2"/>
    </row>
    <row r="2504" spans="4:5" x14ac:dyDescent="0.25">
      <c r="D2504" s="2"/>
      <c r="E2504" s="2"/>
    </row>
    <row r="2505" spans="4:5" x14ac:dyDescent="0.25">
      <c r="D2505" s="2"/>
      <c r="E2505" s="2"/>
    </row>
    <row r="2506" spans="4:5" x14ac:dyDescent="0.25">
      <c r="D2506" s="2"/>
      <c r="E2506" s="2"/>
    </row>
    <row r="2507" spans="4:5" x14ac:dyDescent="0.25">
      <c r="D2507" s="2"/>
      <c r="E2507" s="2"/>
    </row>
    <row r="2508" spans="4:5" x14ac:dyDescent="0.25">
      <c r="D2508" s="2"/>
      <c r="E2508" s="2"/>
    </row>
    <row r="2509" spans="4:5" x14ac:dyDescent="0.25">
      <c r="D2509" s="2"/>
      <c r="E2509" s="2"/>
    </row>
    <row r="2510" spans="4:5" x14ac:dyDescent="0.25">
      <c r="D2510" s="2"/>
      <c r="E2510" s="2"/>
    </row>
    <row r="2511" spans="4:5" x14ac:dyDescent="0.25">
      <c r="D2511" s="2"/>
      <c r="E2511" s="2"/>
    </row>
    <row r="2512" spans="4:5" x14ac:dyDescent="0.25">
      <c r="D2512" s="2"/>
      <c r="E2512" s="2"/>
    </row>
    <row r="2513" spans="4:5" x14ac:dyDescent="0.25">
      <c r="D2513" s="2"/>
      <c r="E2513" s="2"/>
    </row>
    <row r="2514" spans="4:5" x14ac:dyDescent="0.25">
      <c r="D2514" s="2"/>
      <c r="E2514" s="2"/>
    </row>
    <row r="2515" spans="4:5" x14ac:dyDescent="0.25">
      <c r="D2515" s="2"/>
      <c r="E2515" s="2"/>
    </row>
    <row r="2516" spans="4:5" x14ac:dyDescent="0.25">
      <c r="D2516" s="2"/>
      <c r="E2516" s="2"/>
    </row>
    <row r="2517" spans="4:5" x14ac:dyDescent="0.25">
      <c r="D2517" s="2"/>
      <c r="E2517" s="2"/>
    </row>
    <row r="2518" spans="4:5" x14ac:dyDescent="0.25">
      <c r="D2518" s="2"/>
      <c r="E2518" s="2"/>
    </row>
    <row r="2519" spans="4:5" x14ac:dyDescent="0.25">
      <c r="D2519" s="2"/>
      <c r="E2519" s="2"/>
    </row>
    <row r="2520" spans="4:5" x14ac:dyDescent="0.25">
      <c r="D2520" s="2"/>
      <c r="E2520" s="2"/>
    </row>
    <row r="2521" spans="4:5" x14ac:dyDescent="0.25">
      <c r="D2521" s="2"/>
      <c r="E2521" s="2"/>
    </row>
    <row r="2522" spans="4:5" x14ac:dyDescent="0.25">
      <c r="D2522" s="2"/>
      <c r="E2522" s="2"/>
    </row>
    <row r="2523" spans="4:5" x14ac:dyDescent="0.25">
      <c r="D2523" s="2"/>
      <c r="E2523" s="2"/>
    </row>
    <row r="2524" spans="4:5" x14ac:dyDescent="0.25">
      <c r="D2524" s="2"/>
      <c r="E2524" s="2"/>
    </row>
    <row r="2525" spans="4:5" x14ac:dyDescent="0.25">
      <c r="D2525" s="2"/>
      <c r="E2525" s="2"/>
    </row>
    <row r="2526" spans="4:5" x14ac:dyDescent="0.25">
      <c r="D2526" s="2"/>
      <c r="E2526" s="2"/>
    </row>
    <row r="2527" spans="4:5" x14ac:dyDescent="0.25">
      <c r="D2527" s="2"/>
      <c r="E2527" s="2"/>
    </row>
    <row r="2528" spans="4:5" x14ac:dyDescent="0.25">
      <c r="D2528" s="2"/>
      <c r="E2528" s="2"/>
    </row>
    <row r="2529" spans="4:5" x14ac:dyDescent="0.25">
      <c r="D2529" s="2"/>
      <c r="E2529" s="2"/>
    </row>
    <row r="2530" spans="4:5" x14ac:dyDescent="0.25">
      <c r="D2530" s="2"/>
      <c r="E2530" s="2"/>
    </row>
    <row r="2531" spans="4:5" x14ac:dyDescent="0.25">
      <c r="D2531" s="2"/>
      <c r="E2531" s="2"/>
    </row>
    <row r="2532" spans="4:5" x14ac:dyDescent="0.25">
      <c r="D2532" s="2"/>
      <c r="E2532" s="2"/>
    </row>
    <row r="2533" spans="4:5" x14ac:dyDescent="0.25">
      <c r="D2533" s="2"/>
      <c r="E2533" s="2"/>
    </row>
    <row r="2534" spans="4:5" x14ac:dyDescent="0.25">
      <c r="D2534" s="2"/>
      <c r="E2534" s="2"/>
    </row>
    <row r="2535" spans="4:5" x14ac:dyDescent="0.25">
      <c r="D2535" s="2"/>
      <c r="E2535" s="2"/>
    </row>
    <row r="2536" spans="4:5" x14ac:dyDescent="0.25">
      <c r="D2536" s="2"/>
      <c r="E2536" s="2"/>
    </row>
    <row r="2537" spans="4:5" x14ac:dyDescent="0.25">
      <c r="D2537" s="2"/>
      <c r="E2537" s="2"/>
    </row>
    <row r="2538" spans="4:5" x14ac:dyDescent="0.25">
      <c r="D2538" s="2"/>
      <c r="E2538" s="2"/>
    </row>
    <row r="2539" spans="4:5" x14ac:dyDescent="0.25">
      <c r="D2539" s="2"/>
      <c r="E2539" s="2"/>
    </row>
    <row r="2540" spans="4:5" x14ac:dyDescent="0.25">
      <c r="D2540" s="2"/>
      <c r="E2540" s="2"/>
    </row>
    <row r="2541" spans="4:5" x14ac:dyDescent="0.25">
      <c r="D2541" s="2"/>
      <c r="E2541" s="2"/>
    </row>
    <row r="2542" spans="4:5" x14ac:dyDescent="0.25">
      <c r="D2542" s="2"/>
      <c r="E2542" s="2"/>
    </row>
    <row r="2543" spans="4:5" x14ac:dyDescent="0.25">
      <c r="D2543" s="2"/>
      <c r="E2543" s="2"/>
    </row>
    <row r="2544" spans="4:5" x14ac:dyDescent="0.25">
      <c r="D2544" s="2"/>
      <c r="E2544" s="2"/>
    </row>
    <row r="2545" spans="4:5" x14ac:dyDescent="0.25">
      <c r="D2545" s="2"/>
      <c r="E2545" s="2"/>
    </row>
    <row r="2546" spans="4:5" x14ac:dyDescent="0.25">
      <c r="D2546" s="2"/>
      <c r="E2546" s="2"/>
    </row>
    <row r="2547" spans="4:5" x14ac:dyDescent="0.25">
      <c r="D2547" s="2"/>
      <c r="E2547" s="2"/>
    </row>
    <row r="2548" spans="4:5" x14ac:dyDescent="0.25">
      <c r="D2548" s="2"/>
      <c r="E2548" s="2"/>
    </row>
    <row r="2549" spans="4:5" x14ac:dyDescent="0.25">
      <c r="D2549" s="2"/>
      <c r="E2549" s="2"/>
    </row>
    <row r="2550" spans="4:5" x14ac:dyDescent="0.25">
      <c r="D2550" s="2"/>
      <c r="E2550" s="2"/>
    </row>
    <row r="2551" spans="4:5" x14ac:dyDescent="0.25">
      <c r="D2551" s="2"/>
      <c r="E2551" s="2"/>
    </row>
    <row r="2552" spans="4:5" x14ac:dyDescent="0.25">
      <c r="D2552" s="2"/>
      <c r="E2552" s="2"/>
    </row>
    <row r="2553" spans="4:5" x14ac:dyDescent="0.25">
      <c r="D2553" s="2"/>
      <c r="E2553" s="2"/>
    </row>
    <row r="2554" spans="4:5" x14ac:dyDescent="0.25">
      <c r="D2554" s="2"/>
      <c r="E2554" s="2"/>
    </row>
    <row r="2555" spans="4:5" x14ac:dyDescent="0.25">
      <c r="D2555" s="2"/>
      <c r="E2555" s="2"/>
    </row>
    <row r="2556" spans="4:5" x14ac:dyDescent="0.25">
      <c r="D2556" s="2"/>
      <c r="E2556" s="2"/>
    </row>
    <row r="2557" spans="4:5" x14ac:dyDescent="0.25">
      <c r="D2557" s="2"/>
      <c r="E2557" s="2"/>
    </row>
    <row r="2558" spans="4:5" x14ac:dyDescent="0.25">
      <c r="D2558" s="2"/>
      <c r="E2558" s="2"/>
    </row>
    <row r="2559" spans="4:5" x14ac:dyDescent="0.25">
      <c r="D2559" s="2"/>
      <c r="E2559" s="2"/>
    </row>
    <row r="2560" spans="4:5" x14ac:dyDescent="0.25">
      <c r="D2560" s="2"/>
      <c r="E2560" s="2"/>
    </row>
    <row r="2561" spans="4:5" x14ac:dyDescent="0.25">
      <c r="D2561" s="2"/>
      <c r="E2561" s="2"/>
    </row>
    <row r="2562" spans="4:5" x14ac:dyDescent="0.25">
      <c r="D2562" s="2"/>
      <c r="E2562" s="2"/>
    </row>
    <row r="2563" spans="4:5" x14ac:dyDescent="0.25">
      <c r="D2563" s="2"/>
      <c r="E2563" s="2"/>
    </row>
    <row r="2564" spans="4:5" x14ac:dyDescent="0.25">
      <c r="D2564" s="2"/>
      <c r="E2564" s="2"/>
    </row>
    <row r="2565" spans="4:5" x14ac:dyDescent="0.25">
      <c r="D2565" s="2"/>
      <c r="E2565" s="2"/>
    </row>
    <row r="2566" spans="4:5" x14ac:dyDescent="0.25">
      <c r="D2566" s="2"/>
      <c r="E2566" s="2"/>
    </row>
    <row r="2567" spans="4:5" x14ac:dyDescent="0.25">
      <c r="D2567" s="2"/>
      <c r="E2567" s="2"/>
    </row>
    <row r="2568" spans="4:5" x14ac:dyDescent="0.25">
      <c r="D2568" s="2"/>
      <c r="E2568" s="2"/>
    </row>
    <row r="2569" spans="4:5" x14ac:dyDescent="0.25">
      <c r="D2569" s="2"/>
      <c r="E2569" s="2"/>
    </row>
    <row r="2570" spans="4:5" x14ac:dyDescent="0.25">
      <c r="D2570" s="2"/>
      <c r="E2570" s="2"/>
    </row>
    <row r="2571" spans="4:5" x14ac:dyDescent="0.25">
      <c r="D2571" s="2"/>
      <c r="E2571" s="2"/>
    </row>
    <row r="2572" spans="4:5" x14ac:dyDescent="0.25">
      <c r="D2572" s="2"/>
      <c r="E2572" s="2"/>
    </row>
    <row r="2573" spans="4:5" x14ac:dyDescent="0.25">
      <c r="D2573" s="2"/>
      <c r="E2573" s="2"/>
    </row>
    <row r="2574" spans="4:5" x14ac:dyDescent="0.25">
      <c r="D2574" s="2"/>
      <c r="E2574" s="2"/>
    </row>
    <row r="2575" spans="4:5" x14ac:dyDescent="0.25">
      <c r="D2575" s="2"/>
      <c r="E2575" s="2"/>
    </row>
    <row r="2576" spans="4:5" x14ac:dyDescent="0.25">
      <c r="D2576" s="2"/>
      <c r="E2576" s="2"/>
    </row>
    <row r="2577" spans="4:5" x14ac:dyDescent="0.25">
      <c r="D2577" s="2"/>
      <c r="E2577" s="2"/>
    </row>
    <row r="2578" spans="4:5" x14ac:dyDescent="0.25">
      <c r="D2578" s="2"/>
      <c r="E2578" s="2"/>
    </row>
    <row r="2579" spans="4:5" x14ac:dyDescent="0.25">
      <c r="D2579" s="2"/>
      <c r="E2579" s="2"/>
    </row>
    <row r="2580" spans="4:5" x14ac:dyDescent="0.25">
      <c r="D2580" s="2"/>
      <c r="E2580" s="2"/>
    </row>
    <row r="2581" spans="4:5" x14ac:dyDescent="0.25">
      <c r="D2581" s="2"/>
      <c r="E2581" s="2"/>
    </row>
    <row r="2582" spans="4:5" x14ac:dyDescent="0.25">
      <c r="D2582" s="2"/>
      <c r="E2582" s="2"/>
    </row>
    <row r="2583" spans="4:5" x14ac:dyDescent="0.25">
      <c r="D2583" s="2"/>
      <c r="E2583" s="2"/>
    </row>
    <row r="2584" spans="4:5" x14ac:dyDescent="0.25">
      <c r="D2584" s="2"/>
      <c r="E2584" s="2"/>
    </row>
    <row r="2585" spans="4:5" x14ac:dyDescent="0.25">
      <c r="D2585" s="2"/>
      <c r="E2585" s="2"/>
    </row>
    <row r="2586" spans="4:5" x14ac:dyDescent="0.25">
      <c r="D2586" s="2"/>
      <c r="E2586" s="2"/>
    </row>
    <row r="2587" spans="4:5" x14ac:dyDescent="0.25">
      <c r="D2587" s="2"/>
      <c r="E2587" s="2"/>
    </row>
    <row r="2588" spans="4:5" x14ac:dyDescent="0.25">
      <c r="D2588" s="2"/>
      <c r="E2588" s="2"/>
    </row>
    <row r="2589" spans="4:5" x14ac:dyDescent="0.25">
      <c r="D2589" s="2"/>
      <c r="E2589" s="2"/>
    </row>
    <row r="2590" spans="4:5" x14ac:dyDescent="0.25">
      <c r="D2590" s="2"/>
      <c r="E2590" s="2"/>
    </row>
    <row r="2591" spans="4:5" x14ac:dyDescent="0.25">
      <c r="D2591" s="2"/>
      <c r="E2591" s="2"/>
    </row>
    <row r="2592" spans="4:5" x14ac:dyDescent="0.25">
      <c r="D2592" s="2"/>
      <c r="E2592" s="2"/>
    </row>
    <row r="2593" spans="4:5" x14ac:dyDescent="0.25">
      <c r="D2593" s="2"/>
      <c r="E2593" s="2"/>
    </row>
    <row r="2594" spans="4:5" x14ac:dyDescent="0.25">
      <c r="D2594" s="2"/>
      <c r="E2594" s="2"/>
    </row>
    <row r="2595" spans="4:5" x14ac:dyDescent="0.25">
      <c r="D2595" s="2"/>
      <c r="E2595" s="2"/>
    </row>
    <row r="2596" spans="4:5" x14ac:dyDescent="0.25">
      <c r="D2596" s="2"/>
      <c r="E2596" s="2"/>
    </row>
    <row r="2597" spans="4:5" x14ac:dyDescent="0.25">
      <c r="D2597" s="2"/>
      <c r="E2597" s="2"/>
    </row>
    <row r="2598" spans="4:5" x14ac:dyDescent="0.25">
      <c r="D2598" s="2"/>
      <c r="E2598" s="2"/>
    </row>
    <row r="2599" spans="4:5" x14ac:dyDescent="0.25">
      <c r="D2599" s="2"/>
      <c r="E2599" s="2"/>
    </row>
    <row r="2600" spans="4:5" x14ac:dyDescent="0.25">
      <c r="D2600" s="2"/>
      <c r="E2600" s="2"/>
    </row>
    <row r="2601" spans="4:5" x14ac:dyDescent="0.25">
      <c r="D2601" s="2"/>
      <c r="E2601" s="2"/>
    </row>
    <row r="2602" spans="4:5" x14ac:dyDescent="0.25">
      <c r="D2602" s="2"/>
      <c r="E2602" s="2"/>
    </row>
    <row r="2603" spans="4:5" x14ac:dyDescent="0.25">
      <c r="D2603" s="2"/>
      <c r="E2603" s="2"/>
    </row>
    <row r="2604" spans="4:5" x14ac:dyDescent="0.25">
      <c r="D2604" s="2"/>
      <c r="E2604" s="2"/>
    </row>
    <row r="2605" spans="4:5" x14ac:dyDescent="0.25">
      <c r="D2605" s="2"/>
      <c r="E2605" s="2"/>
    </row>
    <row r="2606" spans="4:5" x14ac:dyDescent="0.25">
      <c r="D2606" s="2"/>
      <c r="E2606" s="2"/>
    </row>
    <row r="2607" spans="4:5" x14ac:dyDescent="0.25">
      <c r="D2607" s="2"/>
      <c r="E2607" s="2"/>
    </row>
    <row r="2608" spans="4:5" x14ac:dyDescent="0.25">
      <c r="D2608" s="2"/>
      <c r="E2608" s="2"/>
    </row>
    <row r="2609" spans="4:5" x14ac:dyDescent="0.25">
      <c r="D2609" s="2"/>
      <c r="E2609" s="2"/>
    </row>
    <row r="2610" spans="4:5" x14ac:dyDescent="0.25">
      <c r="D2610" s="2"/>
      <c r="E2610" s="2"/>
    </row>
    <row r="2611" spans="4:5" x14ac:dyDescent="0.25">
      <c r="D2611" s="2"/>
      <c r="E2611" s="2"/>
    </row>
    <row r="2612" spans="4:5" x14ac:dyDescent="0.25">
      <c r="D2612" s="2"/>
      <c r="E2612" s="2"/>
    </row>
    <row r="2613" spans="4:5" x14ac:dyDescent="0.25">
      <c r="D2613" s="2"/>
      <c r="E2613" s="2"/>
    </row>
    <row r="2614" spans="4:5" x14ac:dyDescent="0.25">
      <c r="D2614" s="2"/>
      <c r="E2614" s="2"/>
    </row>
    <row r="2615" spans="4:5" x14ac:dyDescent="0.25">
      <c r="D2615" s="2"/>
      <c r="E2615" s="2"/>
    </row>
    <row r="2616" spans="4:5" x14ac:dyDescent="0.25">
      <c r="D2616" s="2"/>
      <c r="E2616" s="2"/>
    </row>
    <row r="2617" spans="4:5" x14ac:dyDescent="0.25">
      <c r="D2617" s="2"/>
      <c r="E2617" s="2"/>
    </row>
    <row r="2618" spans="4:5" x14ac:dyDescent="0.25">
      <c r="D2618" s="2"/>
      <c r="E2618" s="2"/>
    </row>
    <row r="2619" spans="4:5" x14ac:dyDescent="0.25">
      <c r="D2619" s="2"/>
      <c r="E2619" s="2"/>
    </row>
    <row r="2620" spans="4:5" x14ac:dyDescent="0.25">
      <c r="D2620" s="2"/>
      <c r="E2620" s="2"/>
    </row>
    <row r="2621" spans="4:5" x14ac:dyDescent="0.25">
      <c r="D2621" s="2"/>
      <c r="E2621" s="2"/>
    </row>
    <row r="2622" spans="4:5" x14ac:dyDescent="0.25">
      <c r="D2622" s="2"/>
      <c r="E2622" s="2"/>
    </row>
    <row r="2623" spans="4:5" x14ac:dyDescent="0.25">
      <c r="D2623" s="2"/>
      <c r="E2623" s="2"/>
    </row>
    <row r="2624" spans="4:5" x14ac:dyDescent="0.25">
      <c r="D2624" s="2"/>
      <c r="E2624" s="2"/>
    </row>
    <row r="2625" spans="4:5" x14ac:dyDescent="0.25">
      <c r="D2625" s="2"/>
      <c r="E2625" s="2"/>
    </row>
    <row r="2626" spans="4:5" x14ac:dyDescent="0.25">
      <c r="D2626" s="2"/>
      <c r="E2626" s="2"/>
    </row>
    <row r="2627" spans="4:5" x14ac:dyDescent="0.25">
      <c r="D2627" s="2"/>
      <c r="E2627" s="2"/>
    </row>
    <row r="2628" spans="4:5" x14ac:dyDescent="0.25">
      <c r="D2628" s="2"/>
      <c r="E2628" s="2"/>
    </row>
    <row r="2629" spans="4:5" x14ac:dyDescent="0.25">
      <c r="D2629" s="2"/>
      <c r="E2629" s="2"/>
    </row>
    <row r="2630" spans="4:5" x14ac:dyDescent="0.25">
      <c r="D2630" s="2"/>
      <c r="E2630" s="2"/>
    </row>
    <row r="2631" spans="4:5" x14ac:dyDescent="0.25">
      <c r="D2631" s="2"/>
      <c r="E2631" s="2"/>
    </row>
    <row r="2632" spans="4:5" x14ac:dyDescent="0.25">
      <c r="D2632" s="2"/>
      <c r="E2632" s="2"/>
    </row>
    <row r="2633" spans="4:5" x14ac:dyDescent="0.25">
      <c r="D2633" s="2"/>
      <c r="E2633" s="2"/>
    </row>
    <row r="2634" spans="4:5" x14ac:dyDescent="0.25">
      <c r="D2634" s="2"/>
      <c r="E2634" s="2"/>
    </row>
    <row r="2635" spans="4:5" x14ac:dyDescent="0.25">
      <c r="D2635" s="2"/>
      <c r="E2635" s="2"/>
    </row>
    <row r="2636" spans="4:5" x14ac:dyDescent="0.25">
      <c r="D2636" s="2"/>
      <c r="E2636" s="2"/>
    </row>
    <row r="2637" spans="4:5" x14ac:dyDescent="0.25">
      <c r="D2637" s="2"/>
      <c r="E2637" s="2"/>
    </row>
    <row r="2638" spans="4:5" x14ac:dyDescent="0.25">
      <c r="D2638" s="2"/>
      <c r="E2638" s="2"/>
    </row>
    <row r="2639" spans="4:5" x14ac:dyDescent="0.25">
      <c r="D2639" s="2"/>
      <c r="E2639" s="2"/>
    </row>
    <row r="2640" spans="4:5" x14ac:dyDescent="0.25">
      <c r="D2640" s="2"/>
      <c r="E2640" s="2"/>
    </row>
    <row r="2641" spans="4:5" x14ac:dyDescent="0.25">
      <c r="D2641" s="2"/>
      <c r="E2641" s="2"/>
    </row>
    <row r="2642" spans="4:5" x14ac:dyDescent="0.25">
      <c r="D2642" s="2"/>
      <c r="E2642" s="2"/>
    </row>
    <row r="2643" spans="4:5" x14ac:dyDescent="0.25">
      <c r="D2643" s="2"/>
      <c r="E2643" s="2"/>
    </row>
    <row r="2644" spans="4:5" x14ac:dyDescent="0.25">
      <c r="D2644" s="2"/>
      <c r="E2644" s="2"/>
    </row>
    <row r="2645" spans="4:5" x14ac:dyDescent="0.25">
      <c r="D2645" s="2"/>
      <c r="E2645" s="2"/>
    </row>
    <row r="2646" spans="4:5" x14ac:dyDescent="0.25">
      <c r="D2646" s="2"/>
      <c r="E2646" s="2"/>
    </row>
    <row r="2647" spans="4:5" x14ac:dyDescent="0.25">
      <c r="D2647" s="2"/>
      <c r="E2647" s="2"/>
    </row>
    <row r="2648" spans="4:5" x14ac:dyDescent="0.25">
      <c r="D2648" s="2"/>
      <c r="E2648" s="2"/>
    </row>
    <row r="2649" spans="4:5" x14ac:dyDescent="0.25">
      <c r="D2649" s="2"/>
      <c r="E2649" s="2"/>
    </row>
    <row r="2650" spans="4:5" x14ac:dyDescent="0.25">
      <c r="D2650" s="2"/>
      <c r="E2650" s="2"/>
    </row>
    <row r="2651" spans="4:5" x14ac:dyDescent="0.25">
      <c r="D2651" s="2"/>
      <c r="E2651" s="2"/>
    </row>
    <row r="2652" spans="4:5" x14ac:dyDescent="0.25">
      <c r="D2652" s="2"/>
      <c r="E2652" s="2"/>
    </row>
    <row r="2653" spans="4:5" x14ac:dyDescent="0.25">
      <c r="D2653" s="2"/>
      <c r="E2653" s="2"/>
    </row>
    <row r="2654" spans="4:5" x14ac:dyDescent="0.25">
      <c r="D2654" s="2"/>
      <c r="E2654" s="2"/>
    </row>
    <row r="2655" spans="4:5" x14ac:dyDescent="0.25">
      <c r="D2655" s="2"/>
      <c r="E2655" s="2"/>
    </row>
    <row r="2656" spans="4:5" x14ac:dyDescent="0.25">
      <c r="D2656" s="2"/>
      <c r="E2656" s="2"/>
    </row>
    <row r="2657" spans="4:5" x14ac:dyDescent="0.25">
      <c r="D2657" s="2"/>
      <c r="E2657" s="2"/>
    </row>
    <row r="2658" spans="4:5" x14ac:dyDescent="0.25">
      <c r="D2658" s="2"/>
      <c r="E2658" s="2"/>
    </row>
    <row r="2659" spans="4:5" x14ac:dyDescent="0.25">
      <c r="D2659" s="2"/>
      <c r="E2659" s="2"/>
    </row>
    <row r="2660" spans="4:5" x14ac:dyDescent="0.25">
      <c r="D2660" s="2"/>
      <c r="E2660" s="2"/>
    </row>
    <row r="2661" spans="4:5" x14ac:dyDescent="0.25">
      <c r="D2661" s="2"/>
      <c r="E2661" s="2"/>
    </row>
    <row r="2662" spans="4:5" x14ac:dyDescent="0.25">
      <c r="D2662" s="2"/>
      <c r="E2662" s="2"/>
    </row>
    <row r="2663" spans="4:5" x14ac:dyDescent="0.25">
      <c r="D2663" s="2"/>
      <c r="E2663" s="2"/>
    </row>
    <row r="2664" spans="4:5" x14ac:dyDescent="0.25">
      <c r="D2664" s="2"/>
      <c r="E2664" s="2"/>
    </row>
    <row r="2665" spans="4:5" x14ac:dyDescent="0.25">
      <c r="D2665" s="2"/>
      <c r="E2665" s="2"/>
    </row>
    <row r="2666" spans="4:5" x14ac:dyDescent="0.25">
      <c r="D2666" s="2"/>
      <c r="E2666" s="2"/>
    </row>
    <row r="2667" spans="4:5" x14ac:dyDescent="0.25">
      <c r="D2667" s="2"/>
      <c r="E2667" s="2"/>
    </row>
    <row r="2668" spans="4:5" x14ac:dyDescent="0.25">
      <c r="D2668" s="2"/>
      <c r="E2668" s="2"/>
    </row>
    <row r="2669" spans="4:5" x14ac:dyDescent="0.25">
      <c r="D2669" s="2"/>
      <c r="E2669" s="2"/>
    </row>
    <row r="2670" spans="4:5" x14ac:dyDescent="0.25">
      <c r="D2670" s="2"/>
      <c r="E2670" s="2"/>
    </row>
    <row r="2671" spans="4:5" x14ac:dyDescent="0.25">
      <c r="D2671" s="2"/>
      <c r="E2671" s="2"/>
    </row>
    <row r="2672" spans="4:5" x14ac:dyDescent="0.25">
      <c r="D2672" s="2"/>
      <c r="E2672" s="2"/>
    </row>
    <row r="2673" spans="4:5" x14ac:dyDescent="0.25">
      <c r="D2673" s="2"/>
      <c r="E2673" s="2"/>
    </row>
    <row r="2674" spans="4:5" x14ac:dyDescent="0.25">
      <c r="D2674" s="2"/>
      <c r="E2674" s="2"/>
    </row>
    <row r="2675" spans="4:5" x14ac:dyDescent="0.25">
      <c r="D2675" s="2"/>
      <c r="E2675" s="2"/>
    </row>
    <row r="2676" spans="4:5" x14ac:dyDescent="0.25">
      <c r="D2676" s="2"/>
      <c r="E2676" s="2"/>
    </row>
    <row r="2677" spans="4:5" x14ac:dyDescent="0.25">
      <c r="D2677" s="2"/>
      <c r="E2677" s="2"/>
    </row>
    <row r="2678" spans="4:5" x14ac:dyDescent="0.25">
      <c r="D2678" s="2"/>
      <c r="E2678" s="2"/>
    </row>
    <row r="2679" spans="4:5" x14ac:dyDescent="0.25">
      <c r="D2679" s="2"/>
      <c r="E2679" s="2"/>
    </row>
    <row r="2680" spans="4:5" x14ac:dyDescent="0.25">
      <c r="D2680" s="2"/>
      <c r="E2680" s="2"/>
    </row>
    <row r="2681" spans="4:5" x14ac:dyDescent="0.25">
      <c r="D2681" s="2"/>
      <c r="E2681" s="2"/>
    </row>
    <row r="2682" spans="4:5" x14ac:dyDescent="0.25">
      <c r="D2682" s="2"/>
      <c r="E2682" s="2"/>
    </row>
    <row r="2683" spans="4:5" x14ac:dyDescent="0.25">
      <c r="D2683" s="2"/>
      <c r="E2683" s="2"/>
    </row>
    <row r="2684" spans="4:5" x14ac:dyDescent="0.25">
      <c r="D2684" s="2"/>
      <c r="E2684" s="2"/>
    </row>
    <row r="2685" spans="4:5" x14ac:dyDescent="0.25">
      <c r="D2685" s="2"/>
      <c r="E2685" s="2"/>
    </row>
    <row r="2686" spans="4:5" x14ac:dyDescent="0.25">
      <c r="D2686" s="2"/>
      <c r="E2686" s="2"/>
    </row>
    <row r="2687" spans="4:5" x14ac:dyDescent="0.25">
      <c r="D2687" s="2"/>
      <c r="E2687" s="2"/>
    </row>
    <row r="2688" spans="4:5" x14ac:dyDescent="0.25">
      <c r="D2688" s="2"/>
      <c r="E2688" s="2"/>
    </row>
    <row r="2689" spans="4:5" x14ac:dyDescent="0.25">
      <c r="D2689" s="2"/>
      <c r="E2689" s="2"/>
    </row>
    <row r="2690" spans="4:5" x14ac:dyDescent="0.25">
      <c r="D2690" s="2"/>
      <c r="E2690" s="2"/>
    </row>
    <row r="2691" spans="4:5" x14ac:dyDescent="0.25">
      <c r="D2691" s="2"/>
      <c r="E2691" s="2"/>
    </row>
    <row r="2692" spans="4:5" x14ac:dyDescent="0.25">
      <c r="D2692" s="2"/>
      <c r="E2692" s="2"/>
    </row>
    <row r="2693" spans="4:5" x14ac:dyDescent="0.25">
      <c r="D2693" s="2"/>
      <c r="E2693" s="2"/>
    </row>
    <row r="2694" spans="4:5" x14ac:dyDescent="0.25">
      <c r="D2694" s="2"/>
      <c r="E2694" s="2"/>
    </row>
    <row r="2695" spans="4:5" x14ac:dyDescent="0.25">
      <c r="D2695" s="2"/>
      <c r="E2695" s="2"/>
    </row>
    <row r="2696" spans="4:5" x14ac:dyDescent="0.25">
      <c r="D2696" s="2"/>
      <c r="E2696" s="2"/>
    </row>
    <row r="2697" spans="4:5" x14ac:dyDescent="0.25">
      <c r="D2697" s="2"/>
      <c r="E2697" s="2"/>
    </row>
    <row r="2698" spans="4:5" x14ac:dyDescent="0.25">
      <c r="D2698" s="2"/>
      <c r="E2698" s="2"/>
    </row>
    <row r="2699" spans="4:5" x14ac:dyDescent="0.25">
      <c r="D2699" s="2"/>
      <c r="E2699" s="2"/>
    </row>
    <row r="2700" spans="4:5" x14ac:dyDescent="0.25">
      <c r="D2700" s="2"/>
      <c r="E2700" s="2"/>
    </row>
    <row r="2701" spans="4:5" x14ac:dyDescent="0.25">
      <c r="D2701" s="2"/>
      <c r="E2701" s="2"/>
    </row>
    <row r="2702" spans="4:5" x14ac:dyDescent="0.25">
      <c r="D2702" s="2"/>
      <c r="E2702" s="2"/>
    </row>
    <row r="2703" spans="4:5" x14ac:dyDescent="0.25">
      <c r="D2703" s="2"/>
      <c r="E2703" s="2"/>
    </row>
    <row r="2704" spans="4:5" x14ac:dyDescent="0.25">
      <c r="D2704" s="2"/>
      <c r="E2704" s="2"/>
    </row>
    <row r="2705" spans="4:5" x14ac:dyDescent="0.25">
      <c r="D2705" s="2"/>
      <c r="E2705" s="2"/>
    </row>
    <row r="2706" spans="4:5" x14ac:dyDescent="0.25">
      <c r="D2706" s="2"/>
      <c r="E2706" s="2"/>
    </row>
    <row r="2707" spans="4:5" x14ac:dyDescent="0.25">
      <c r="D2707" s="2"/>
      <c r="E2707" s="2"/>
    </row>
    <row r="2708" spans="4:5" x14ac:dyDescent="0.25">
      <c r="D2708" s="2"/>
      <c r="E2708" s="2"/>
    </row>
    <row r="2709" spans="4:5" x14ac:dyDescent="0.25">
      <c r="D2709" s="2"/>
      <c r="E2709" s="2"/>
    </row>
    <row r="2710" spans="4:5" x14ac:dyDescent="0.25">
      <c r="D2710" s="2"/>
      <c r="E2710" s="2"/>
    </row>
    <row r="2711" spans="4:5" x14ac:dyDescent="0.25">
      <c r="D2711" s="2"/>
      <c r="E2711" s="2"/>
    </row>
    <row r="2712" spans="4:5" x14ac:dyDescent="0.25">
      <c r="D2712" s="2"/>
      <c r="E2712" s="2"/>
    </row>
    <row r="2713" spans="4:5" x14ac:dyDescent="0.25">
      <c r="D2713" s="2"/>
      <c r="E2713" s="2"/>
    </row>
    <row r="2714" spans="4:5" x14ac:dyDescent="0.25">
      <c r="D2714" s="2"/>
      <c r="E2714" s="2"/>
    </row>
    <row r="2715" spans="4:5" x14ac:dyDescent="0.25">
      <c r="D2715" s="2"/>
      <c r="E2715" s="2"/>
    </row>
    <row r="2716" spans="4:5" x14ac:dyDescent="0.25">
      <c r="D2716" s="2"/>
      <c r="E2716" s="2"/>
    </row>
    <row r="2717" spans="4:5" x14ac:dyDescent="0.25">
      <c r="D2717" s="2"/>
      <c r="E2717" s="2"/>
    </row>
    <row r="2718" spans="4:5" x14ac:dyDescent="0.25">
      <c r="D2718" s="2"/>
      <c r="E2718" s="2"/>
    </row>
    <row r="2719" spans="4:5" x14ac:dyDescent="0.25">
      <c r="D2719" s="2"/>
      <c r="E2719" s="2"/>
    </row>
    <row r="2720" spans="4:5" x14ac:dyDescent="0.25">
      <c r="D2720" s="2"/>
      <c r="E2720" s="2"/>
    </row>
    <row r="2721" spans="4:5" x14ac:dyDescent="0.25">
      <c r="D2721" s="2"/>
      <c r="E2721" s="2"/>
    </row>
    <row r="2722" spans="4:5" x14ac:dyDescent="0.25">
      <c r="D2722" s="2"/>
      <c r="E2722" s="2"/>
    </row>
    <row r="2723" spans="4:5" x14ac:dyDescent="0.25">
      <c r="D2723" s="2"/>
      <c r="E2723" s="2"/>
    </row>
    <row r="2724" spans="4:5" x14ac:dyDescent="0.25">
      <c r="D2724" s="2"/>
      <c r="E2724" s="2"/>
    </row>
    <row r="2725" spans="4:5" x14ac:dyDescent="0.25">
      <c r="D2725" s="2"/>
      <c r="E2725" s="2"/>
    </row>
    <row r="2726" spans="4:5" x14ac:dyDescent="0.25">
      <c r="D2726" s="2"/>
      <c r="E2726" s="2"/>
    </row>
    <row r="2727" spans="4:5" x14ac:dyDescent="0.25">
      <c r="D2727" s="2"/>
      <c r="E2727" s="2"/>
    </row>
    <row r="2728" spans="4:5" x14ac:dyDescent="0.25">
      <c r="D2728" s="2"/>
      <c r="E2728" s="2"/>
    </row>
    <row r="2729" spans="4:5" x14ac:dyDescent="0.25">
      <c r="D2729" s="2"/>
      <c r="E2729" s="2"/>
    </row>
    <row r="2730" spans="4:5" x14ac:dyDescent="0.25">
      <c r="D2730" s="2"/>
      <c r="E2730" s="2"/>
    </row>
    <row r="2731" spans="4:5" x14ac:dyDescent="0.25">
      <c r="D2731" s="2"/>
      <c r="E2731" s="2"/>
    </row>
    <row r="2732" spans="4:5" x14ac:dyDescent="0.25">
      <c r="D2732" s="2"/>
      <c r="E2732" s="2"/>
    </row>
    <row r="2733" spans="4:5" x14ac:dyDescent="0.25">
      <c r="D2733" s="2"/>
      <c r="E2733" s="2"/>
    </row>
    <row r="2734" spans="4:5" x14ac:dyDescent="0.25">
      <c r="D2734" s="2"/>
      <c r="E2734" s="2"/>
    </row>
    <row r="2735" spans="4:5" x14ac:dyDescent="0.25">
      <c r="D2735" s="2"/>
      <c r="E2735" s="2"/>
    </row>
    <row r="2736" spans="4:5" x14ac:dyDescent="0.25">
      <c r="D2736" s="2"/>
      <c r="E2736" s="2"/>
    </row>
    <row r="2737" spans="4:5" x14ac:dyDescent="0.25">
      <c r="D2737" s="2"/>
      <c r="E2737" s="2"/>
    </row>
    <row r="2738" spans="4:5" x14ac:dyDescent="0.25">
      <c r="D2738" s="2"/>
      <c r="E2738" s="2"/>
    </row>
    <row r="2739" spans="4:5" x14ac:dyDescent="0.25">
      <c r="D2739" s="2"/>
      <c r="E2739" s="2"/>
    </row>
    <row r="2740" spans="4:5" x14ac:dyDescent="0.25">
      <c r="D2740" s="2"/>
      <c r="E2740" s="2"/>
    </row>
    <row r="2741" spans="4:5" x14ac:dyDescent="0.25">
      <c r="D2741" s="2"/>
      <c r="E2741" s="2"/>
    </row>
    <row r="2742" spans="4:5" x14ac:dyDescent="0.25">
      <c r="D2742" s="2"/>
      <c r="E2742" s="2"/>
    </row>
    <row r="2743" spans="4:5" x14ac:dyDescent="0.25">
      <c r="D2743" s="2"/>
      <c r="E2743" s="2"/>
    </row>
    <row r="2744" spans="4:5" x14ac:dyDescent="0.25">
      <c r="D2744" s="2"/>
      <c r="E2744" s="2"/>
    </row>
    <row r="2745" spans="4:5" x14ac:dyDescent="0.25">
      <c r="D2745" s="2"/>
      <c r="E2745" s="2"/>
    </row>
    <row r="2746" spans="4:5" x14ac:dyDescent="0.25">
      <c r="D2746" s="2"/>
      <c r="E2746" s="2"/>
    </row>
    <row r="2747" spans="4:5" x14ac:dyDescent="0.25">
      <c r="D2747" s="2"/>
      <c r="E2747" s="2"/>
    </row>
    <row r="2748" spans="4:5" x14ac:dyDescent="0.25">
      <c r="D2748" s="2"/>
      <c r="E2748" s="2"/>
    </row>
    <row r="2749" spans="4:5" x14ac:dyDescent="0.25">
      <c r="D2749" s="2"/>
      <c r="E2749" s="2"/>
    </row>
    <row r="2750" spans="4:5" x14ac:dyDescent="0.25">
      <c r="D2750" s="2"/>
      <c r="E2750" s="2"/>
    </row>
    <row r="2751" spans="4:5" x14ac:dyDescent="0.25">
      <c r="D2751" s="2"/>
      <c r="E2751" s="2"/>
    </row>
    <row r="2752" spans="4:5" x14ac:dyDescent="0.25">
      <c r="D2752" s="2"/>
      <c r="E2752" s="2"/>
    </row>
    <row r="2753" spans="4:5" x14ac:dyDescent="0.25">
      <c r="D2753" s="2"/>
      <c r="E2753" s="2"/>
    </row>
    <row r="2754" spans="4:5" x14ac:dyDescent="0.25">
      <c r="D2754" s="2"/>
      <c r="E2754" s="2"/>
    </row>
    <row r="2755" spans="4:5" x14ac:dyDescent="0.25">
      <c r="D2755" s="2"/>
      <c r="E2755" s="2"/>
    </row>
    <row r="2756" spans="4:5" x14ac:dyDescent="0.25">
      <c r="D2756" s="2"/>
      <c r="E2756" s="2"/>
    </row>
    <row r="2757" spans="4:5" x14ac:dyDescent="0.25">
      <c r="D2757" s="2"/>
      <c r="E2757" s="2"/>
    </row>
    <row r="2758" spans="4:5" x14ac:dyDescent="0.25">
      <c r="D2758" s="2"/>
      <c r="E2758" s="2"/>
    </row>
    <row r="2759" spans="4:5" x14ac:dyDescent="0.25">
      <c r="D2759" s="2"/>
      <c r="E2759" s="2"/>
    </row>
    <row r="2760" spans="4:5" x14ac:dyDescent="0.25">
      <c r="D2760" s="2"/>
      <c r="E2760" s="2"/>
    </row>
    <row r="2761" spans="4:5" x14ac:dyDescent="0.25">
      <c r="D2761" s="2"/>
      <c r="E2761" s="2"/>
    </row>
    <row r="2762" spans="4:5" x14ac:dyDescent="0.25">
      <c r="D2762" s="2"/>
      <c r="E2762" s="2"/>
    </row>
    <row r="2763" spans="4:5" x14ac:dyDescent="0.25">
      <c r="D2763" s="2"/>
      <c r="E2763" s="2"/>
    </row>
    <row r="2764" spans="4:5" x14ac:dyDescent="0.25">
      <c r="D2764" s="2"/>
      <c r="E2764" s="2"/>
    </row>
    <row r="2765" spans="4:5" x14ac:dyDescent="0.25">
      <c r="D2765" s="2"/>
      <c r="E2765" s="2"/>
    </row>
    <row r="2766" spans="4:5" x14ac:dyDescent="0.25">
      <c r="D2766" s="2"/>
      <c r="E2766" s="2"/>
    </row>
    <row r="2767" spans="4:5" x14ac:dyDescent="0.25">
      <c r="D2767" s="2"/>
      <c r="E2767" s="2"/>
    </row>
    <row r="2768" spans="4:5" x14ac:dyDescent="0.25">
      <c r="D2768" s="2"/>
      <c r="E2768" s="2"/>
    </row>
    <row r="2769" spans="4:5" x14ac:dyDescent="0.25">
      <c r="D2769" s="2"/>
      <c r="E2769" s="2"/>
    </row>
    <row r="2770" spans="4:5" x14ac:dyDescent="0.25">
      <c r="D2770" s="2"/>
      <c r="E2770" s="2"/>
    </row>
    <row r="2771" spans="4:5" x14ac:dyDescent="0.25">
      <c r="D2771" s="2"/>
      <c r="E2771" s="2"/>
    </row>
    <row r="2772" spans="4:5" x14ac:dyDescent="0.25">
      <c r="D2772" s="2"/>
      <c r="E2772" s="2"/>
    </row>
    <row r="2773" spans="4:5" x14ac:dyDescent="0.25">
      <c r="D2773" s="2"/>
      <c r="E2773" s="2"/>
    </row>
    <row r="2774" spans="4:5" x14ac:dyDescent="0.25">
      <c r="D2774" s="2"/>
      <c r="E2774" s="2"/>
    </row>
    <row r="2775" spans="4:5" x14ac:dyDescent="0.25">
      <c r="D2775" s="2"/>
      <c r="E2775" s="2"/>
    </row>
    <row r="2776" spans="4:5" x14ac:dyDescent="0.25">
      <c r="D2776" s="2"/>
      <c r="E2776" s="2"/>
    </row>
    <row r="2777" spans="4:5" x14ac:dyDescent="0.25">
      <c r="D2777" s="2"/>
      <c r="E2777" s="2"/>
    </row>
    <row r="2778" spans="4:5" x14ac:dyDescent="0.25">
      <c r="D2778" s="2"/>
      <c r="E2778" s="2"/>
    </row>
    <row r="2779" spans="4:5" x14ac:dyDescent="0.25">
      <c r="D2779" s="2"/>
      <c r="E2779" s="2"/>
    </row>
    <row r="2780" spans="4:5" x14ac:dyDescent="0.25">
      <c r="D2780" s="2"/>
      <c r="E2780" s="2"/>
    </row>
    <row r="2781" spans="4:5" x14ac:dyDescent="0.25">
      <c r="D2781" s="2"/>
      <c r="E2781" s="2"/>
    </row>
    <row r="2782" spans="4:5" x14ac:dyDescent="0.25">
      <c r="D2782" s="2"/>
      <c r="E2782" s="2"/>
    </row>
    <row r="2783" spans="4:5" x14ac:dyDescent="0.25">
      <c r="D2783" s="2"/>
      <c r="E2783" s="2"/>
    </row>
    <row r="2784" spans="4:5" x14ac:dyDescent="0.25">
      <c r="D2784" s="2"/>
      <c r="E2784" s="2"/>
    </row>
    <row r="2785" spans="4:5" x14ac:dyDescent="0.25">
      <c r="D2785" s="2"/>
      <c r="E2785" s="2"/>
    </row>
    <row r="2786" spans="4:5" x14ac:dyDescent="0.25">
      <c r="D2786" s="2"/>
      <c r="E2786" s="2"/>
    </row>
    <row r="2787" spans="4:5" x14ac:dyDescent="0.25">
      <c r="D2787" s="2"/>
      <c r="E2787" s="2"/>
    </row>
    <row r="2788" spans="4:5" x14ac:dyDescent="0.25">
      <c r="D2788" s="2"/>
      <c r="E2788" s="2"/>
    </row>
    <row r="2789" spans="4:5" x14ac:dyDescent="0.25">
      <c r="D2789" s="2"/>
      <c r="E2789" s="2"/>
    </row>
    <row r="2790" spans="4:5" x14ac:dyDescent="0.25">
      <c r="D2790" s="2"/>
      <c r="E2790" s="2"/>
    </row>
    <row r="2791" spans="4:5" x14ac:dyDescent="0.25">
      <c r="D2791" s="2"/>
      <c r="E2791" s="2"/>
    </row>
    <row r="2792" spans="4:5" x14ac:dyDescent="0.25">
      <c r="D2792" s="2"/>
      <c r="E2792" s="2"/>
    </row>
    <row r="2793" spans="4:5" x14ac:dyDescent="0.25">
      <c r="D2793" s="2"/>
      <c r="E2793" s="2"/>
    </row>
    <row r="2794" spans="4:5" x14ac:dyDescent="0.25">
      <c r="D2794" s="2"/>
      <c r="E2794" s="2"/>
    </row>
    <row r="2795" spans="4:5" x14ac:dyDescent="0.25">
      <c r="D2795" s="2"/>
      <c r="E2795" s="2"/>
    </row>
    <row r="2796" spans="4:5" x14ac:dyDescent="0.25">
      <c r="D2796" s="2"/>
      <c r="E2796" s="2"/>
    </row>
    <row r="2797" spans="4:5" x14ac:dyDescent="0.25">
      <c r="D2797" s="2"/>
      <c r="E2797" s="2"/>
    </row>
    <row r="2798" spans="4:5" x14ac:dyDescent="0.25">
      <c r="D2798" s="2"/>
      <c r="E2798" s="2"/>
    </row>
    <row r="2799" spans="4:5" x14ac:dyDescent="0.25">
      <c r="D2799" s="2"/>
      <c r="E2799" s="2"/>
    </row>
    <row r="2800" spans="4:5" x14ac:dyDescent="0.25">
      <c r="D2800" s="2"/>
      <c r="E2800" s="2"/>
    </row>
    <row r="2801" spans="4:5" x14ac:dyDescent="0.25">
      <c r="D2801" s="2"/>
      <c r="E2801" s="2"/>
    </row>
    <row r="2802" spans="4:5" x14ac:dyDescent="0.25">
      <c r="D2802" s="2"/>
      <c r="E2802" s="2"/>
    </row>
    <row r="2803" spans="4:5" x14ac:dyDescent="0.25">
      <c r="D2803" s="2"/>
      <c r="E2803" s="2"/>
    </row>
    <row r="2804" spans="4:5" x14ac:dyDescent="0.25">
      <c r="D2804" s="2"/>
      <c r="E2804" s="2"/>
    </row>
    <row r="2805" spans="4:5" x14ac:dyDescent="0.25">
      <c r="D2805" s="2"/>
      <c r="E2805" s="2"/>
    </row>
    <row r="2806" spans="4:5" x14ac:dyDescent="0.25">
      <c r="D2806" s="2"/>
      <c r="E2806" s="2"/>
    </row>
    <row r="2807" spans="4:5" x14ac:dyDescent="0.25">
      <c r="D2807" s="2"/>
      <c r="E2807" s="2"/>
    </row>
    <row r="2808" spans="4:5" x14ac:dyDescent="0.25">
      <c r="D2808" s="2"/>
      <c r="E2808" s="2"/>
    </row>
    <row r="2809" spans="4:5" x14ac:dyDescent="0.25">
      <c r="D2809" s="2"/>
      <c r="E2809" s="2"/>
    </row>
    <row r="2810" spans="4:5" x14ac:dyDescent="0.25">
      <c r="D2810" s="2"/>
      <c r="E2810" s="2"/>
    </row>
    <row r="2811" spans="4:5" x14ac:dyDescent="0.25">
      <c r="D2811" s="2"/>
      <c r="E2811" s="2"/>
    </row>
    <row r="2812" spans="4:5" x14ac:dyDescent="0.25">
      <c r="D2812" s="2"/>
      <c r="E2812" s="2"/>
    </row>
    <row r="2813" spans="4:5" x14ac:dyDescent="0.25">
      <c r="D2813" s="2"/>
      <c r="E2813" s="2"/>
    </row>
    <row r="2814" spans="4:5" x14ac:dyDescent="0.25">
      <c r="D2814" s="2"/>
      <c r="E2814" s="2"/>
    </row>
    <row r="2815" spans="4:5" x14ac:dyDescent="0.25">
      <c r="D2815" s="2"/>
      <c r="E2815" s="2"/>
    </row>
    <row r="2816" spans="4:5" x14ac:dyDescent="0.25">
      <c r="D2816" s="2"/>
      <c r="E2816" s="2"/>
    </row>
    <row r="2817" spans="4:5" x14ac:dyDescent="0.25">
      <c r="D2817" s="2"/>
      <c r="E2817" s="2"/>
    </row>
    <row r="2818" spans="4:5" x14ac:dyDescent="0.25">
      <c r="D2818" s="2"/>
      <c r="E2818" s="2"/>
    </row>
    <row r="2819" spans="4:5" x14ac:dyDescent="0.25">
      <c r="D2819" s="2"/>
      <c r="E2819" s="2"/>
    </row>
    <row r="2820" spans="4:5" x14ac:dyDescent="0.25">
      <c r="D2820" s="2"/>
      <c r="E2820" s="2"/>
    </row>
    <row r="2821" spans="4:5" x14ac:dyDescent="0.25">
      <c r="D2821" s="2"/>
      <c r="E2821" s="2"/>
    </row>
    <row r="2822" spans="4:5" x14ac:dyDescent="0.25">
      <c r="D2822" s="2"/>
      <c r="E2822" s="2"/>
    </row>
    <row r="2823" spans="4:5" x14ac:dyDescent="0.25">
      <c r="D2823" s="2"/>
      <c r="E2823" s="2"/>
    </row>
    <row r="2824" spans="4:5" x14ac:dyDescent="0.25">
      <c r="D2824" s="2"/>
      <c r="E2824" s="2"/>
    </row>
    <row r="2825" spans="4:5" x14ac:dyDescent="0.25">
      <c r="D2825" s="2"/>
      <c r="E2825" s="2"/>
    </row>
    <row r="2826" spans="4:5" x14ac:dyDescent="0.25">
      <c r="D2826" s="2"/>
      <c r="E2826" s="2"/>
    </row>
    <row r="2827" spans="4:5" x14ac:dyDescent="0.25">
      <c r="D2827" s="2"/>
      <c r="E2827" s="2"/>
    </row>
    <row r="2828" spans="4:5" x14ac:dyDescent="0.25">
      <c r="D2828" s="2"/>
      <c r="E2828" s="2"/>
    </row>
    <row r="2829" spans="4:5" x14ac:dyDescent="0.25">
      <c r="D2829" s="2"/>
      <c r="E2829" s="2"/>
    </row>
    <row r="2830" spans="4:5" x14ac:dyDescent="0.25">
      <c r="D2830" s="2"/>
      <c r="E2830" s="2"/>
    </row>
    <row r="2831" spans="4:5" x14ac:dyDescent="0.25">
      <c r="D2831" s="2"/>
      <c r="E2831" s="2"/>
    </row>
    <row r="2832" spans="4:5" x14ac:dyDescent="0.25">
      <c r="D2832" s="2"/>
      <c r="E2832" s="2"/>
    </row>
    <row r="2833" spans="4:5" x14ac:dyDescent="0.25">
      <c r="D2833" s="2"/>
      <c r="E2833" s="2"/>
    </row>
    <row r="2834" spans="4:5" x14ac:dyDescent="0.25">
      <c r="D2834" s="2"/>
      <c r="E2834" s="2"/>
    </row>
    <row r="2835" spans="4:5" x14ac:dyDescent="0.25">
      <c r="D2835" s="2"/>
      <c r="E2835" s="2"/>
    </row>
    <row r="2836" spans="4:5" x14ac:dyDescent="0.25">
      <c r="D2836" s="2"/>
      <c r="E2836" s="2"/>
    </row>
    <row r="2837" spans="4:5" x14ac:dyDescent="0.25">
      <c r="D2837" s="2"/>
      <c r="E2837" s="2"/>
    </row>
    <row r="2838" spans="4:5" x14ac:dyDescent="0.25">
      <c r="D2838" s="2"/>
      <c r="E2838" s="2"/>
    </row>
    <row r="2839" spans="4:5" x14ac:dyDescent="0.25">
      <c r="D2839" s="2"/>
      <c r="E2839" s="2"/>
    </row>
    <row r="2840" spans="4:5" x14ac:dyDescent="0.25">
      <c r="D2840" s="2"/>
      <c r="E2840" s="2"/>
    </row>
    <row r="2841" spans="4:5" x14ac:dyDescent="0.25">
      <c r="D2841" s="2"/>
      <c r="E2841" s="2"/>
    </row>
    <row r="2842" spans="4:5" x14ac:dyDescent="0.25">
      <c r="D2842" s="2"/>
      <c r="E2842" s="2"/>
    </row>
    <row r="2843" spans="4:5" x14ac:dyDescent="0.25">
      <c r="D2843" s="2"/>
      <c r="E2843" s="2"/>
    </row>
    <row r="2844" spans="4:5" x14ac:dyDescent="0.25">
      <c r="D2844" s="2"/>
      <c r="E2844" s="2"/>
    </row>
    <row r="2845" spans="4:5" x14ac:dyDescent="0.25">
      <c r="D2845" s="2"/>
      <c r="E2845" s="2"/>
    </row>
    <row r="2846" spans="4:5" x14ac:dyDescent="0.25">
      <c r="D2846" s="2"/>
      <c r="E2846" s="2"/>
    </row>
    <row r="2847" spans="4:5" x14ac:dyDescent="0.25">
      <c r="D2847" s="2"/>
      <c r="E2847" s="2"/>
    </row>
    <row r="2848" spans="4:5" x14ac:dyDescent="0.25">
      <c r="D2848" s="2"/>
      <c r="E2848" s="2"/>
    </row>
    <row r="2849" spans="4:5" x14ac:dyDescent="0.25">
      <c r="D2849" s="2"/>
      <c r="E2849" s="2"/>
    </row>
    <row r="2850" spans="4:5" x14ac:dyDescent="0.25">
      <c r="D2850" s="2"/>
      <c r="E2850" s="2"/>
    </row>
    <row r="2851" spans="4:5" x14ac:dyDescent="0.25">
      <c r="D2851" s="2"/>
      <c r="E2851" s="2"/>
    </row>
    <row r="2852" spans="4:5" x14ac:dyDescent="0.25">
      <c r="D2852" s="2"/>
      <c r="E2852" s="2"/>
    </row>
    <row r="2853" spans="4:5" x14ac:dyDescent="0.25">
      <c r="D2853" s="2"/>
      <c r="E2853" s="2"/>
    </row>
    <row r="2854" spans="4:5" x14ac:dyDescent="0.25">
      <c r="D2854" s="2"/>
      <c r="E2854" s="2"/>
    </row>
    <row r="2855" spans="4:5" x14ac:dyDescent="0.25">
      <c r="D2855" s="2"/>
      <c r="E2855" s="2"/>
    </row>
    <row r="2856" spans="4:5" x14ac:dyDescent="0.25">
      <c r="D2856" s="2"/>
      <c r="E2856" s="2"/>
    </row>
    <row r="2857" spans="4:5" x14ac:dyDescent="0.25">
      <c r="D2857" s="2"/>
      <c r="E2857" s="2"/>
    </row>
    <row r="2858" spans="4:5" x14ac:dyDescent="0.25">
      <c r="D2858" s="2"/>
      <c r="E2858" s="2"/>
    </row>
    <row r="2859" spans="4:5" x14ac:dyDescent="0.25">
      <c r="D2859" s="2"/>
      <c r="E2859" s="2"/>
    </row>
    <row r="2860" spans="4:5" x14ac:dyDescent="0.25">
      <c r="D2860" s="2"/>
      <c r="E2860" s="2"/>
    </row>
    <row r="2861" spans="4:5" x14ac:dyDescent="0.25">
      <c r="D2861" s="2"/>
      <c r="E2861" s="2"/>
    </row>
    <row r="2862" spans="4:5" x14ac:dyDescent="0.25">
      <c r="D2862" s="2"/>
      <c r="E2862" s="2"/>
    </row>
    <row r="2863" spans="4:5" x14ac:dyDescent="0.25">
      <c r="D2863" s="2"/>
      <c r="E2863" s="2"/>
    </row>
    <row r="2864" spans="4:5" x14ac:dyDescent="0.25">
      <c r="D2864" s="2"/>
      <c r="E2864" s="2"/>
    </row>
    <row r="2865" spans="4:5" x14ac:dyDescent="0.25">
      <c r="D2865" s="2"/>
      <c r="E2865" s="2"/>
    </row>
    <row r="2866" spans="4:5" x14ac:dyDescent="0.25">
      <c r="D2866" s="2"/>
      <c r="E2866" s="2"/>
    </row>
    <row r="2867" spans="4:5" x14ac:dyDescent="0.25">
      <c r="D2867" s="2"/>
      <c r="E2867" s="2"/>
    </row>
    <row r="2868" spans="4:5" x14ac:dyDescent="0.25">
      <c r="D2868" s="2"/>
      <c r="E2868" s="2"/>
    </row>
    <row r="2869" spans="4:5" x14ac:dyDescent="0.25">
      <c r="D2869" s="2"/>
      <c r="E2869" s="2"/>
    </row>
    <row r="2870" spans="4:5" x14ac:dyDescent="0.25">
      <c r="D2870" s="2"/>
      <c r="E2870" s="2"/>
    </row>
    <row r="2871" spans="4:5" x14ac:dyDescent="0.25">
      <c r="D2871" s="2"/>
      <c r="E2871" s="2"/>
    </row>
    <row r="2872" spans="4:5" x14ac:dyDescent="0.25">
      <c r="D2872" s="2"/>
      <c r="E2872" s="2"/>
    </row>
    <row r="2873" spans="4:5" x14ac:dyDescent="0.25">
      <c r="D2873" s="2"/>
      <c r="E2873" s="2"/>
    </row>
    <row r="2874" spans="4:5" x14ac:dyDescent="0.25">
      <c r="D2874" s="2"/>
      <c r="E2874" s="2"/>
    </row>
    <row r="2875" spans="4:5" x14ac:dyDescent="0.25">
      <c r="D2875" s="2"/>
      <c r="E2875" s="2"/>
    </row>
    <row r="2876" spans="4:5" x14ac:dyDescent="0.25">
      <c r="D2876" s="2"/>
      <c r="E2876" s="2"/>
    </row>
    <row r="2877" spans="4:5" x14ac:dyDescent="0.25">
      <c r="D2877" s="2"/>
      <c r="E2877" s="2"/>
    </row>
    <row r="2878" spans="4:5" x14ac:dyDescent="0.25">
      <c r="D2878" s="2"/>
      <c r="E2878" s="2"/>
    </row>
    <row r="2879" spans="4:5" x14ac:dyDescent="0.25">
      <c r="D2879" s="2"/>
      <c r="E2879" s="2"/>
    </row>
    <row r="2880" spans="4:5" x14ac:dyDescent="0.25">
      <c r="D2880" s="2"/>
      <c r="E2880" s="2"/>
    </row>
    <row r="2881" spans="4:5" x14ac:dyDescent="0.25">
      <c r="D2881" s="2"/>
      <c r="E2881" s="2"/>
    </row>
    <row r="2882" spans="4:5" x14ac:dyDescent="0.25">
      <c r="D2882" s="2"/>
      <c r="E2882" s="2"/>
    </row>
    <row r="2883" spans="4:5" x14ac:dyDescent="0.25">
      <c r="D2883" s="2"/>
      <c r="E2883" s="2"/>
    </row>
    <row r="2884" spans="4:5" x14ac:dyDescent="0.25">
      <c r="D2884" s="2"/>
      <c r="E2884" s="2"/>
    </row>
    <row r="2885" spans="4:5" x14ac:dyDescent="0.25">
      <c r="D2885" s="2"/>
      <c r="E2885" s="2"/>
    </row>
    <row r="2886" spans="4:5" x14ac:dyDescent="0.25">
      <c r="D2886" s="2"/>
      <c r="E2886" s="2"/>
    </row>
    <row r="2887" spans="4:5" x14ac:dyDescent="0.25">
      <c r="D2887" s="2"/>
      <c r="E2887" s="2"/>
    </row>
    <row r="2888" spans="4:5" x14ac:dyDescent="0.25">
      <c r="D2888" s="2"/>
      <c r="E2888" s="2"/>
    </row>
    <row r="2889" spans="4:5" x14ac:dyDescent="0.25">
      <c r="D2889" s="2"/>
      <c r="E2889" s="2"/>
    </row>
    <row r="2890" spans="4:5" x14ac:dyDescent="0.25">
      <c r="D2890" s="2"/>
      <c r="E2890" s="2"/>
    </row>
    <row r="2891" spans="4:5" x14ac:dyDescent="0.25">
      <c r="D2891" s="2"/>
      <c r="E2891" s="2"/>
    </row>
    <row r="2892" spans="4:5" x14ac:dyDescent="0.25">
      <c r="D2892" s="2"/>
      <c r="E2892" s="2"/>
    </row>
    <row r="2893" spans="4:5" x14ac:dyDescent="0.25">
      <c r="D2893" s="2"/>
      <c r="E2893" s="2"/>
    </row>
    <row r="2894" spans="4:5" x14ac:dyDescent="0.25">
      <c r="D2894" s="2"/>
      <c r="E2894" s="2"/>
    </row>
    <row r="2895" spans="4:5" x14ac:dyDescent="0.25">
      <c r="D2895" s="2"/>
      <c r="E2895" s="2"/>
    </row>
    <row r="2896" spans="4:5" x14ac:dyDescent="0.25">
      <c r="D2896" s="2"/>
      <c r="E2896" s="2"/>
    </row>
    <row r="2897" spans="4:5" x14ac:dyDescent="0.25">
      <c r="D2897" s="2"/>
      <c r="E2897" s="2"/>
    </row>
    <row r="2898" spans="4:5" x14ac:dyDescent="0.25">
      <c r="D2898" s="2"/>
      <c r="E2898" s="2"/>
    </row>
    <row r="2899" spans="4:5" x14ac:dyDescent="0.25">
      <c r="D2899" s="2"/>
      <c r="E2899" s="2"/>
    </row>
    <row r="2900" spans="4:5" x14ac:dyDescent="0.25">
      <c r="D2900" s="2"/>
      <c r="E2900" s="2"/>
    </row>
    <row r="2901" spans="4:5" x14ac:dyDescent="0.25">
      <c r="D2901" s="2"/>
      <c r="E2901" s="2"/>
    </row>
    <row r="2902" spans="4:5" x14ac:dyDescent="0.25">
      <c r="D2902" s="2"/>
      <c r="E2902" s="2"/>
    </row>
    <row r="2903" spans="4:5" x14ac:dyDescent="0.25">
      <c r="D2903" s="2"/>
      <c r="E2903" s="2"/>
    </row>
    <row r="2904" spans="4:5" x14ac:dyDescent="0.25">
      <c r="D2904" s="2"/>
      <c r="E2904" s="2"/>
    </row>
    <row r="2905" spans="4:5" x14ac:dyDescent="0.25">
      <c r="D2905" s="2"/>
      <c r="E2905" s="2"/>
    </row>
    <row r="2906" spans="4:5" x14ac:dyDescent="0.25">
      <c r="D2906" s="2"/>
      <c r="E2906" s="2"/>
    </row>
    <row r="2907" spans="4:5" x14ac:dyDescent="0.25">
      <c r="D2907" s="2"/>
      <c r="E2907" s="2"/>
    </row>
    <row r="2908" spans="4:5" x14ac:dyDescent="0.25">
      <c r="D2908" s="2"/>
      <c r="E2908" s="2"/>
    </row>
    <row r="2909" spans="4:5" x14ac:dyDescent="0.25">
      <c r="D2909" s="2"/>
      <c r="E2909" s="2"/>
    </row>
    <row r="2910" spans="4:5" x14ac:dyDescent="0.25">
      <c r="D2910" s="2"/>
      <c r="E2910" s="2"/>
    </row>
    <row r="2911" spans="4:5" x14ac:dyDescent="0.25">
      <c r="D2911" s="2"/>
      <c r="E2911" s="2"/>
    </row>
    <row r="2912" spans="4:5" x14ac:dyDescent="0.25">
      <c r="D2912" s="2"/>
      <c r="E2912" s="2"/>
    </row>
    <row r="2913" spans="4:5" x14ac:dyDescent="0.25">
      <c r="D2913" s="2"/>
      <c r="E2913" s="2"/>
    </row>
    <row r="2914" spans="4:5" x14ac:dyDescent="0.25">
      <c r="D2914" s="2"/>
      <c r="E2914" s="2"/>
    </row>
    <row r="2915" spans="4:5" x14ac:dyDescent="0.25">
      <c r="D2915" s="2"/>
      <c r="E2915" s="2"/>
    </row>
    <row r="2916" spans="4:5" x14ac:dyDescent="0.25">
      <c r="D2916" s="2"/>
      <c r="E2916" s="2"/>
    </row>
    <row r="2917" spans="4:5" x14ac:dyDescent="0.25">
      <c r="D2917" s="2"/>
      <c r="E2917" s="2"/>
    </row>
    <row r="2918" spans="4:5" x14ac:dyDescent="0.25">
      <c r="D2918" s="2"/>
      <c r="E2918" s="2"/>
    </row>
    <row r="2919" spans="4:5" x14ac:dyDescent="0.25">
      <c r="D2919" s="2"/>
      <c r="E2919" s="2"/>
    </row>
    <row r="2920" spans="4:5" x14ac:dyDescent="0.25">
      <c r="D2920" s="2"/>
      <c r="E2920" s="2"/>
    </row>
    <row r="2921" spans="4:5" x14ac:dyDescent="0.25">
      <c r="D2921" s="2"/>
      <c r="E2921" s="2"/>
    </row>
    <row r="2922" spans="4:5" x14ac:dyDescent="0.25">
      <c r="D2922" s="2"/>
      <c r="E2922" s="2"/>
    </row>
    <row r="2923" spans="4:5" x14ac:dyDescent="0.25">
      <c r="D2923" s="2"/>
      <c r="E2923" s="2"/>
    </row>
    <row r="2924" spans="4:5" x14ac:dyDescent="0.25">
      <c r="D2924" s="2"/>
      <c r="E2924" s="2"/>
    </row>
    <row r="2925" spans="4:5" x14ac:dyDescent="0.25">
      <c r="D2925" s="2"/>
      <c r="E2925" s="2"/>
    </row>
    <row r="2926" spans="4:5" x14ac:dyDescent="0.25">
      <c r="D2926" s="2"/>
      <c r="E2926" s="2"/>
    </row>
    <row r="2927" spans="4:5" x14ac:dyDescent="0.25">
      <c r="D2927" s="2"/>
      <c r="E2927" s="2"/>
    </row>
    <row r="2928" spans="4:5" x14ac:dyDescent="0.25">
      <c r="D2928" s="2"/>
      <c r="E2928" s="2"/>
    </row>
    <row r="2929" spans="4:5" x14ac:dyDescent="0.25">
      <c r="D2929" s="2"/>
      <c r="E2929" s="2"/>
    </row>
    <row r="2930" spans="4:5" x14ac:dyDescent="0.25">
      <c r="D2930" s="2"/>
      <c r="E2930" s="2"/>
    </row>
    <row r="2931" spans="4:5" x14ac:dyDescent="0.25">
      <c r="D2931" s="2"/>
      <c r="E2931" s="2"/>
    </row>
    <row r="2932" spans="4:5" x14ac:dyDescent="0.25">
      <c r="D2932" s="2"/>
      <c r="E2932" s="2"/>
    </row>
    <row r="2933" spans="4:5" x14ac:dyDescent="0.25">
      <c r="D2933" s="2"/>
      <c r="E2933" s="2"/>
    </row>
    <row r="2934" spans="4:5" x14ac:dyDescent="0.25">
      <c r="D2934" s="2"/>
      <c r="E2934" s="2"/>
    </row>
    <row r="2935" spans="4:5" x14ac:dyDescent="0.25">
      <c r="D2935" s="2"/>
      <c r="E2935" s="2"/>
    </row>
    <row r="2936" spans="4:5" x14ac:dyDescent="0.25">
      <c r="D2936" s="2"/>
      <c r="E2936" s="2"/>
    </row>
    <row r="2937" spans="4:5" x14ac:dyDescent="0.25">
      <c r="D2937" s="2"/>
      <c r="E2937" s="2"/>
    </row>
    <row r="2938" spans="4:5" x14ac:dyDescent="0.25">
      <c r="D2938" s="2"/>
      <c r="E2938" s="2"/>
    </row>
    <row r="2939" spans="4:5" x14ac:dyDescent="0.25">
      <c r="D2939" s="2"/>
      <c r="E2939" s="2"/>
    </row>
    <row r="2940" spans="4:5" x14ac:dyDescent="0.25">
      <c r="D2940" s="2"/>
      <c r="E2940" s="2"/>
    </row>
    <row r="2941" spans="4:5" x14ac:dyDescent="0.25">
      <c r="D2941" s="2"/>
      <c r="E2941" s="2"/>
    </row>
    <row r="2942" spans="4:5" x14ac:dyDescent="0.25">
      <c r="D2942" s="2"/>
      <c r="E2942" s="2"/>
    </row>
    <row r="2943" spans="4:5" x14ac:dyDescent="0.25">
      <c r="D2943" s="2"/>
      <c r="E2943" s="2"/>
    </row>
    <row r="2944" spans="4:5" x14ac:dyDescent="0.25">
      <c r="D2944" s="2"/>
      <c r="E2944" s="2"/>
    </row>
    <row r="2945" spans="4:5" x14ac:dyDescent="0.25">
      <c r="D2945" s="2"/>
      <c r="E2945" s="2"/>
    </row>
    <row r="2946" spans="4:5" x14ac:dyDescent="0.25">
      <c r="D2946" s="2"/>
      <c r="E2946" s="2"/>
    </row>
    <row r="2947" spans="4:5" x14ac:dyDescent="0.25">
      <c r="D2947" s="2"/>
      <c r="E2947" s="2"/>
    </row>
    <row r="2948" spans="4:5" x14ac:dyDescent="0.25">
      <c r="D2948" s="2"/>
      <c r="E2948" s="2"/>
    </row>
    <row r="2949" spans="4:5" x14ac:dyDescent="0.25">
      <c r="D2949" s="2"/>
      <c r="E2949" s="2"/>
    </row>
    <row r="2950" spans="4:5" x14ac:dyDescent="0.25">
      <c r="D2950" s="2"/>
      <c r="E2950" s="2"/>
    </row>
    <row r="2951" spans="4:5" x14ac:dyDescent="0.25">
      <c r="D2951" s="2"/>
      <c r="E2951" s="2"/>
    </row>
    <row r="2952" spans="4:5" x14ac:dyDescent="0.25">
      <c r="D2952" s="2"/>
      <c r="E2952" s="2"/>
    </row>
    <row r="2953" spans="4:5" x14ac:dyDescent="0.25">
      <c r="D2953" s="2"/>
      <c r="E2953" s="2"/>
    </row>
    <row r="2954" spans="4:5" x14ac:dyDescent="0.25">
      <c r="D2954" s="2"/>
      <c r="E2954" s="2"/>
    </row>
    <row r="2955" spans="4:5" x14ac:dyDescent="0.25">
      <c r="D2955" s="2"/>
      <c r="E2955" s="2"/>
    </row>
    <row r="2956" spans="4:5" x14ac:dyDescent="0.25">
      <c r="D2956" s="2"/>
      <c r="E2956" s="2"/>
    </row>
    <row r="2957" spans="4:5" x14ac:dyDescent="0.25">
      <c r="D2957" s="2"/>
      <c r="E2957" s="2"/>
    </row>
    <row r="2958" spans="4:5" x14ac:dyDescent="0.25">
      <c r="D2958" s="2"/>
      <c r="E2958" s="2"/>
    </row>
    <row r="2959" spans="4:5" x14ac:dyDescent="0.25">
      <c r="D2959" s="2"/>
      <c r="E2959" s="2"/>
    </row>
    <row r="2960" spans="4:5" x14ac:dyDescent="0.25">
      <c r="D2960" s="2"/>
      <c r="E2960" s="2"/>
    </row>
    <row r="2961" spans="4:5" x14ac:dyDescent="0.25">
      <c r="D2961" s="2"/>
      <c r="E2961" s="2"/>
    </row>
    <row r="2962" spans="4:5" x14ac:dyDescent="0.25">
      <c r="D2962" s="2"/>
      <c r="E2962" s="2"/>
    </row>
    <row r="2963" spans="4:5" x14ac:dyDescent="0.25">
      <c r="D2963" s="2"/>
      <c r="E2963" s="2"/>
    </row>
    <row r="2964" spans="4:5" x14ac:dyDescent="0.25">
      <c r="D2964" s="2"/>
      <c r="E2964" s="2"/>
    </row>
    <row r="2965" spans="4:5" x14ac:dyDescent="0.25">
      <c r="D2965" s="2"/>
      <c r="E2965" s="2"/>
    </row>
    <row r="2966" spans="4:5" x14ac:dyDescent="0.25">
      <c r="D2966" s="2"/>
      <c r="E2966" s="2"/>
    </row>
    <row r="2967" spans="4:5" x14ac:dyDescent="0.25">
      <c r="D2967" s="2"/>
      <c r="E2967" s="2"/>
    </row>
    <row r="2968" spans="4:5" x14ac:dyDescent="0.25">
      <c r="D2968" s="2"/>
      <c r="E2968" s="2"/>
    </row>
    <row r="2969" spans="4:5" x14ac:dyDescent="0.25">
      <c r="D2969" s="2"/>
      <c r="E2969" s="2"/>
    </row>
    <row r="2970" spans="4:5" x14ac:dyDescent="0.25">
      <c r="D2970" s="2"/>
      <c r="E2970" s="2"/>
    </row>
    <row r="2971" spans="4:5" x14ac:dyDescent="0.25">
      <c r="D2971" s="2"/>
      <c r="E2971" s="2"/>
    </row>
    <row r="2972" spans="4:5" x14ac:dyDescent="0.25">
      <c r="D2972" s="2"/>
      <c r="E2972" s="2"/>
    </row>
    <row r="2973" spans="4:5" x14ac:dyDescent="0.25">
      <c r="D2973" s="2"/>
      <c r="E2973" s="2"/>
    </row>
    <row r="2974" spans="4:5" x14ac:dyDescent="0.25">
      <c r="D2974" s="2"/>
      <c r="E2974" s="2"/>
    </row>
    <row r="2975" spans="4:5" x14ac:dyDescent="0.25">
      <c r="D2975" s="2"/>
      <c r="E2975" s="2"/>
    </row>
    <row r="2976" spans="4:5" x14ac:dyDescent="0.25">
      <c r="D2976" s="2"/>
      <c r="E2976" s="2"/>
    </row>
    <row r="2977" spans="4:5" x14ac:dyDescent="0.25">
      <c r="D2977" s="2"/>
      <c r="E2977" s="2"/>
    </row>
    <row r="2978" spans="4:5" x14ac:dyDescent="0.25">
      <c r="D2978" s="2"/>
      <c r="E2978" s="2"/>
    </row>
    <row r="2979" spans="4:5" x14ac:dyDescent="0.25">
      <c r="D2979" s="2"/>
      <c r="E2979" s="2"/>
    </row>
    <row r="2980" spans="4:5" x14ac:dyDescent="0.25">
      <c r="D2980" s="2"/>
      <c r="E2980" s="2"/>
    </row>
    <row r="2981" spans="4:5" x14ac:dyDescent="0.25">
      <c r="D2981" s="2"/>
      <c r="E2981" s="2"/>
    </row>
    <row r="2982" spans="4:5" x14ac:dyDescent="0.25">
      <c r="D2982" s="2"/>
      <c r="E2982" s="2"/>
    </row>
    <row r="2983" spans="4:5" x14ac:dyDescent="0.25">
      <c r="D2983" s="2"/>
      <c r="E2983" s="2"/>
    </row>
    <row r="2984" spans="4:5" x14ac:dyDescent="0.25">
      <c r="D2984" s="2"/>
      <c r="E2984" s="2"/>
    </row>
    <row r="2985" spans="4:5" x14ac:dyDescent="0.25">
      <c r="D2985" s="2"/>
      <c r="E2985" s="2"/>
    </row>
    <row r="2986" spans="4:5" x14ac:dyDescent="0.25">
      <c r="D2986" s="2"/>
      <c r="E2986" s="2"/>
    </row>
    <row r="2987" spans="4:5" x14ac:dyDescent="0.25">
      <c r="D2987" s="2"/>
      <c r="E2987" s="2"/>
    </row>
    <row r="2988" spans="4:5" x14ac:dyDescent="0.25">
      <c r="D2988" s="2"/>
      <c r="E2988" s="2"/>
    </row>
    <row r="2989" spans="4:5" x14ac:dyDescent="0.25">
      <c r="D2989" s="2"/>
      <c r="E2989" s="2"/>
    </row>
    <row r="2990" spans="4:5" x14ac:dyDescent="0.25">
      <c r="D2990" s="2"/>
      <c r="E2990" s="2"/>
    </row>
    <row r="2991" spans="4:5" x14ac:dyDescent="0.25">
      <c r="D2991" s="2"/>
      <c r="E2991" s="2"/>
    </row>
    <row r="2992" spans="4:5" x14ac:dyDescent="0.25">
      <c r="D2992" s="2"/>
      <c r="E2992" s="2"/>
    </row>
    <row r="2993" spans="4:5" x14ac:dyDescent="0.25">
      <c r="D2993" s="2"/>
      <c r="E2993" s="2"/>
    </row>
    <row r="2994" spans="4:5" x14ac:dyDescent="0.25">
      <c r="D2994" s="2"/>
      <c r="E2994" s="2"/>
    </row>
    <row r="2995" spans="4:5" x14ac:dyDescent="0.25">
      <c r="D2995" s="2"/>
      <c r="E2995" s="2"/>
    </row>
    <row r="2996" spans="4:5" x14ac:dyDescent="0.25">
      <c r="D2996" s="2"/>
      <c r="E2996" s="2"/>
    </row>
    <row r="2997" spans="4:5" x14ac:dyDescent="0.25">
      <c r="D2997" s="2"/>
      <c r="E2997" s="2"/>
    </row>
    <row r="2998" spans="4:5" x14ac:dyDescent="0.25">
      <c r="D2998" s="2"/>
      <c r="E2998" s="2"/>
    </row>
    <row r="2999" spans="4:5" x14ac:dyDescent="0.25">
      <c r="D2999" s="2"/>
      <c r="E2999" s="2"/>
    </row>
    <row r="3000" spans="4:5" x14ac:dyDescent="0.25">
      <c r="D3000" s="2"/>
      <c r="E3000" s="2"/>
    </row>
    <row r="3001" spans="4:5" x14ac:dyDescent="0.25">
      <c r="D3001" s="2"/>
      <c r="E3001" s="2"/>
    </row>
    <row r="3002" spans="4:5" x14ac:dyDescent="0.25">
      <c r="D3002" s="2"/>
      <c r="E3002" s="2"/>
    </row>
    <row r="3003" spans="4:5" x14ac:dyDescent="0.25">
      <c r="D3003" s="2"/>
      <c r="E3003" s="2"/>
    </row>
    <row r="3004" spans="4:5" x14ac:dyDescent="0.25">
      <c r="D3004" s="2"/>
      <c r="E3004" s="2"/>
    </row>
    <row r="3005" spans="4:5" x14ac:dyDescent="0.25">
      <c r="D3005" s="2"/>
      <c r="E3005" s="2"/>
    </row>
    <row r="3006" spans="4:5" x14ac:dyDescent="0.25">
      <c r="D3006" s="2"/>
      <c r="E3006" s="2"/>
    </row>
    <row r="3007" spans="4:5" x14ac:dyDescent="0.25">
      <c r="D3007" s="2"/>
      <c r="E3007" s="2"/>
    </row>
    <row r="3008" spans="4:5" x14ac:dyDescent="0.25">
      <c r="D3008" s="2"/>
      <c r="E3008" s="2"/>
    </row>
    <row r="3009" spans="4:5" x14ac:dyDescent="0.25">
      <c r="D3009" s="2"/>
      <c r="E3009" s="2"/>
    </row>
    <row r="3010" spans="4:5" x14ac:dyDescent="0.25">
      <c r="D3010" s="2"/>
      <c r="E3010" s="2"/>
    </row>
    <row r="3011" spans="4:5" x14ac:dyDescent="0.25">
      <c r="D3011" s="2"/>
      <c r="E3011" s="2"/>
    </row>
    <row r="3012" spans="4:5" x14ac:dyDescent="0.25">
      <c r="D3012" s="2"/>
      <c r="E3012" s="2"/>
    </row>
    <row r="3013" spans="4:5" x14ac:dyDescent="0.25">
      <c r="D3013" s="2"/>
      <c r="E3013" s="2"/>
    </row>
    <row r="3014" spans="4:5" x14ac:dyDescent="0.25">
      <c r="D3014" s="2"/>
      <c r="E3014" s="2"/>
    </row>
    <row r="3015" spans="4:5" x14ac:dyDescent="0.25">
      <c r="D3015" s="2"/>
      <c r="E3015" s="2"/>
    </row>
    <row r="3016" spans="4:5" x14ac:dyDescent="0.25">
      <c r="D3016" s="2"/>
      <c r="E3016" s="2"/>
    </row>
    <row r="3017" spans="4:5" x14ac:dyDescent="0.25">
      <c r="D3017" s="2"/>
      <c r="E3017" s="2"/>
    </row>
    <row r="3018" spans="4:5" x14ac:dyDescent="0.25">
      <c r="D3018" s="2"/>
      <c r="E3018" s="2"/>
    </row>
    <row r="3019" spans="4:5" x14ac:dyDescent="0.25">
      <c r="D3019" s="2"/>
      <c r="E3019" s="2"/>
    </row>
    <row r="3020" spans="4:5" x14ac:dyDescent="0.25">
      <c r="D3020" s="2"/>
      <c r="E3020" s="2"/>
    </row>
    <row r="3021" spans="4:5" x14ac:dyDescent="0.25">
      <c r="D3021" s="2"/>
      <c r="E3021" s="2"/>
    </row>
    <row r="3022" spans="4:5" x14ac:dyDescent="0.25">
      <c r="D3022" s="2"/>
      <c r="E3022" s="2"/>
    </row>
    <row r="3023" spans="4:5" x14ac:dyDescent="0.25">
      <c r="D3023" s="2"/>
      <c r="E3023" s="2"/>
    </row>
    <row r="3024" spans="4:5" x14ac:dyDescent="0.25">
      <c r="D3024" s="2"/>
      <c r="E3024" s="2"/>
    </row>
    <row r="3025" spans="4:5" x14ac:dyDescent="0.25">
      <c r="D3025" s="2"/>
      <c r="E3025" s="2"/>
    </row>
    <row r="3026" spans="4:5" x14ac:dyDescent="0.25">
      <c r="D3026" s="2"/>
      <c r="E3026" s="2"/>
    </row>
    <row r="3027" spans="4:5" x14ac:dyDescent="0.25">
      <c r="D3027" s="2"/>
      <c r="E3027" s="2"/>
    </row>
    <row r="3028" spans="4:5" x14ac:dyDescent="0.25">
      <c r="D3028" s="2"/>
      <c r="E3028" s="2"/>
    </row>
    <row r="3029" spans="4:5" x14ac:dyDescent="0.25">
      <c r="D3029" s="2"/>
      <c r="E3029" s="2"/>
    </row>
    <row r="3030" spans="4:5" x14ac:dyDescent="0.25">
      <c r="D3030" s="2"/>
      <c r="E3030" s="2"/>
    </row>
    <row r="3031" spans="4:5" x14ac:dyDescent="0.25">
      <c r="D3031" s="2"/>
      <c r="E3031" s="2"/>
    </row>
    <row r="3032" spans="4:5" x14ac:dyDescent="0.25">
      <c r="D3032" s="2"/>
      <c r="E3032" s="2"/>
    </row>
    <row r="3033" spans="4:5" x14ac:dyDescent="0.25">
      <c r="D3033" s="2"/>
      <c r="E3033" s="2"/>
    </row>
    <row r="3034" spans="4:5" x14ac:dyDescent="0.25">
      <c r="D3034" s="2"/>
      <c r="E3034" s="2"/>
    </row>
    <row r="3035" spans="4:5" x14ac:dyDescent="0.25">
      <c r="D3035" s="2"/>
      <c r="E3035" s="2"/>
    </row>
    <row r="3036" spans="4:5" x14ac:dyDescent="0.25">
      <c r="D3036" s="2"/>
      <c r="E3036" s="2"/>
    </row>
    <row r="3037" spans="4:5" x14ac:dyDescent="0.25">
      <c r="D3037" s="2"/>
      <c r="E3037" s="2"/>
    </row>
    <row r="3038" spans="4:5" x14ac:dyDescent="0.25">
      <c r="D3038" s="2"/>
      <c r="E3038" s="2"/>
    </row>
    <row r="3039" spans="4:5" x14ac:dyDescent="0.25">
      <c r="D3039" s="2"/>
      <c r="E3039" s="2"/>
    </row>
    <row r="3040" spans="4:5" x14ac:dyDescent="0.25">
      <c r="D3040" s="2"/>
      <c r="E3040" s="2"/>
    </row>
    <row r="3041" spans="4:5" x14ac:dyDescent="0.25">
      <c r="D3041" s="2"/>
      <c r="E3041" s="2"/>
    </row>
    <row r="3042" spans="4:5" x14ac:dyDescent="0.25">
      <c r="D3042" s="2"/>
      <c r="E3042" s="2"/>
    </row>
    <row r="3043" spans="4:5" x14ac:dyDescent="0.25">
      <c r="D3043" s="2"/>
      <c r="E3043" s="2"/>
    </row>
    <row r="3044" spans="4:5" x14ac:dyDescent="0.25">
      <c r="D3044" s="2"/>
      <c r="E3044" s="2"/>
    </row>
    <row r="3045" spans="4:5" x14ac:dyDescent="0.25">
      <c r="D3045" s="2"/>
      <c r="E3045" s="2"/>
    </row>
    <row r="3046" spans="4:5" x14ac:dyDescent="0.25">
      <c r="D3046" s="2"/>
      <c r="E3046" s="2"/>
    </row>
    <row r="3047" spans="4:5" x14ac:dyDescent="0.25">
      <c r="D3047" s="2"/>
      <c r="E3047" s="2"/>
    </row>
    <row r="3048" spans="4:5" x14ac:dyDescent="0.25">
      <c r="D3048" s="2"/>
      <c r="E3048" s="2"/>
    </row>
    <row r="3049" spans="4:5" x14ac:dyDescent="0.25">
      <c r="D3049" s="2"/>
      <c r="E3049" s="2"/>
    </row>
    <row r="3050" spans="4:5" x14ac:dyDescent="0.25">
      <c r="D3050" s="2"/>
      <c r="E3050" s="2"/>
    </row>
    <row r="3051" spans="4:5" x14ac:dyDescent="0.25">
      <c r="D3051" s="2"/>
      <c r="E3051" s="2"/>
    </row>
    <row r="3052" spans="4:5" x14ac:dyDescent="0.25">
      <c r="D3052" s="2"/>
      <c r="E3052" s="2"/>
    </row>
    <row r="3053" spans="4:5" x14ac:dyDescent="0.25">
      <c r="D3053" s="2"/>
      <c r="E3053" s="2"/>
    </row>
    <row r="3054" spans="4:5" x14ac:dyDescent="0.25">
      <c r="D3054" s="2"/>
      <c r="E3054" s="2"/>
    </row>
    <row r="3055" spans="4:5" x14ac:dyDescent="0.25">
      <c r="D3055" s="2"/>
      <c r="E3055" s="2"/>
    </row>
    <row r="3056" spans="4:5" x14ac:dyDescent="0.25">
      <c r="D3056" s="2"/>
      <c r="E3056" s="2"/>
    </row>
    <row r="3057" spans="4:5" x14ac:dyDescent="0.25">
      <c r="D3057" s="2"/>
      <c r="E3057" s="2"/>
    </row>
    <row r="3058" spans="4:5" x14ac:dyDescent="0.25">
      <c r="D3058" s="2"/>
      <c r="E3058" s="2"/>
    </row>
    <row r="3059" spans="4:5" x14ac:dyDescent="0.25">
      <c r="D3059" s="2"/>
      <c r="E3059" s="2"/>
    </row>
    <row r="3060" spans="4:5" x14ac:dyDescent="0.25">
      <c r="D3060" s="2"/>
      <c r="E3060" s="2"/>
    </row>
    <row r="3061" spans="4:5" x14ac:dyDescent="0.25">
      <c r="D3061" s="2"/>
      <c r="E3061" s="2"/>
    </row>
    <row r="3062" spans="4:5" x14ac:dyDescent="0.25">
      <c r="D3062" s="2"/>
      <c r="E3062" s="2"/>
    </row>
    <row r="3063" spans="4:5" x14ac:dyDescent="0.25">
      <c r="D3063" s="2"/>
      <c r="E3063" s="2"/>
    </row>
    <row r="3064" spans="4:5" x14ac:dyDescent="0.25">
      <c r="D3064" s="2"/>
      <c r="E3064" s="2"/>
    </row>
    <row r="3065" spans="4:5" x14ac:dyDescent="0.25">
      <c r="D3065" s="2"/>
      <c r="E3065" s="2"/>
    </row>
    <row r="3066" spans="4:5" x14ac:dyDescent="0.25">
      <c r="D3066" s="2"/>
      <c r="E3066" s="2"/>
    </row>
    <row r="3067" spans="4:5" x14ac:dyDescent="0.25">
      <c r="D3067" s="2"/>
      <c r="E3067" s="2"/>
    </row>
    <row r="3068" spans="4:5" x14ac:dyDescent="0.25">
      <c r="D3068" s="2"/>
      <c r="E3068" s="2"/>
    </row>
    <row r="3069" spans="4:5" x14ac:dyDescent="0.25">
      <c r="D3069" s="2"/>
      <c r="E3069" s="2"/>
    </row>
    <row r="3070" spans="4:5" x14ac:dyDescent="0.25">
      <c r="D3070" s="2"/>
      <c r="E3070" s="2"/>
    </row>
    <row r="3071" spans="4:5" x14ac:dyDescent="0.25">
      <c r="D3071" s="2"/>
      <c r="E3071" s="2"/>
    </row>
    <row r="3072" spans="4:5" x14ac:dyDescent="0.25">
      <c r="D3072" s="2"/>
      <c r="E3072" s="2"/>
    </row>
    <row r="3073" spans="4:5" x14ac:dyDescent="0.25">
      <c r="D3073" s="2"/>
      <c r="E3073" s="2"/>
    </row>
    <row r="3074" spans="4:5" x14ac:dyDescent="0.25">
      <c r="D3074" s="2"/>
      <c r="E3074" s="2"/>
    </row>
    <row r="3075" spans="4:5" x14ac:dyDescent="0.25">
      <c r="D3075" s="2"/>
      <c r="E3075" s="2"/>
    </row>
    <row r="3076" spans="4:5" x14ac:dyDescent="0.25">
      <c r="D3076" s="2"/>
      <c r="E3076" s="2"/>
    </row>
    <row r="3077" spans="4:5" x14ac:dyDescent="0.25">
      <c r="D3077" s="2"/>
      <c r="E3077" s="2"/>
    </row>
    <row r="3078" spans="4:5" x14ac:dyDescent="0.25">
      <c r="D3078" s="2"/>
      <c r="E3078" s="2"/>
    </row>
    <row r="3079" spans="4:5" x14ac:dyDescent="0.25">
      <c r="D3079" s="2"/>
      <c r="E3079" s="2"/>
    </row>
    <row r="3080" spans="4:5" x14ac:dyDescent="0.25">
      <c r="D3080" s="2"/>
      <c r="E3080" s="2"/>
    </row>
    <row r="3081" spans="4:5" x14ac:dyDescent="0.25">
      <c r="D3081" s="2"/>
      <c r="E3081" s="2"/>
    </row>
    <row r="3082" spans="4:5" x14ac:dyDescent="0.25">
      <c r="D3082" s="2"/>
      <c r="E3082" s="2"/>
    </row>
    <row r="3083" spans="4:5" x14ac:dyDescent="0.25">
      <c r="D3083" s="2"/>
      <c r="E3083" s="2"/>
    </row>
    <row r="3084" spans="4:5" x14ac:dyDescent="0.25">
      <c r="D3084" s="2"/>
      <c r="E3084" s="2"/>
    </row>
    <row r="3085" spans="4:5" x14ac:dyDescent="0.25">
      <c r="D3085" s="2"/>
      <c r="E3085" s="2"/>
    </row>
    <row r="3086" spans="4:5" x14ac:dyDescent="0.25">
      <c r="D3086" s="2"/>
      <c r="E3086" s="2"/>
    </row>
    <row r="3087" spans="4:5" x14ac:dyDescent="0.25">
      <c r="D3087" s="2"/>
      <c r="E3087" s="2"/>
    </row>
    <row r="3088" spans="4:5" x14ac:dyDescent="0.25">
      <c r="D3088" s="2"/>
      <c r="E3088" s="2"/>
    </row>
    <row r="3089" spans="4:5" x14ac:dyDescent="0.25">
      <c r="D3089" s="2"/>
      <c r="E3089" s="2"/>
    </row>
    <row r="3090" spans="4:5" x14ac:dyDescent="0.25">
      <c r="D3090" s="2"/>
      <c r="E3090" s="2"/>
    </row>
    <row r="3091" spans="4:5" x14ac:dyDescent="0.25">
      <c r="D3091" s="2"/>
      <c r="E3091" s="2"/>
    </row>
    <row r="3092" spans="4:5" x14ac:dyDescent="0.25">
      <c r="D3092" s="2"/>
      <c r="E3092" s="2"/>
    </row>
    <row r="3093" spans="4:5" x14ac:dyDescent="0.25">
      <c r="D3093" s="2"/>
      <c r="E3093" s="2"/>
    </row>
    <row r="3094" spans="4:5" x14ac:dyDescent="0.25">
      <c r="D3094" s="2"/>
      <c r="E3094" s="2"/>
    </row>
    <row r="3095" spans="4:5" x14ac:dyDescent="0.25">
      <c r="D3095" s="2"/>
      <c r="E3095" s="2"/>
    </row>
    <row r="3096" spans="4:5" x14ac:dyDescent="0.25">
      <c r="D3096" s="2"/>
      <c r="E3096" s="2"/>
    </row>
    <row r="3097" spans="4:5" x14ac:dyDescent="0.25">
      <c r="D3097" s="2"/>
      <c r="E3097" s="2"/>
    </row>
    <row r="3098" spans="4:5" x14ac:dyDescent="0.25">
      <c r="D3098" s="2"/>
      <c r="E3098" s="2"/>
    </row>
    <row r="3099" spans="4:5" x14ac:dyDescent="0.25">
      <c r="D3099" s="2"/>
      <c r="E3099" s="2"/>
    </row>
    <row r="3100" spans="4:5" x14ac:dyDescent="0.25">
      <c r="D3100" s="2"/>
      <c r="E3100" s="2"/>
    </row>
    <row r="3101" spans="4:5" x14ac:dyDescent="0.25">
      <c r="D3101" s="2"/>
      <c r="E3101" s="2"/>
    </row>
    <row r="3102" spans="4:5" x14ac:dyDescent="0.25">
      <c r="D3102" s="2"/>
      <c r="E3102" s="2"/>
    </row>
    <row r="3103" spans="4:5" x14ac:dyDescent="0.25">
      <c r="D3103" s="2"/>
      <c r="E3103" s="2"/>
    </row>
    <row r="3104" spans="4:5" x14ac:dyDescent="0.25">
      <c r="D3104" s="2"/>
      <c r="E3104" s="2"/>
    </row>
    <row r="3105" spans="4:5" x14ac:dyDescent="0.25">
      <c r="D3105" s="2"/>
      <c r="E3105" s="2"/>
    </row>
    <row r="3106" spans="4:5" x14ac:dyDescent="0.25">
      <c r="D3106" s="2"/>
      <c r="E3106" s="2"/>
    </row>
    <row r="3107" spans="4:5" x14ac:dyDescent="0.25">
      <c r="D3107" s="2"/>
      <c r="E3107" s="2"/>
    </row>
    <row r="3108" spans="4:5" x14ac:dyDescent="0.25">
      <c r="D3108" s="2"/>
      <c r="E3108" s="2"/>
    </row>
    <row r="3109" spans="4:5" x14ac:dyDescent="0.25">
      <c r="D3109" s="2"/>
      <c r="E3109" s="2"/>
    </row>
    <row r="3110" spans="4:5" x14ac:dyDescent="0.25">
      <c r="D3110" s="2"/>
      <c r="E3110" s="2"/>
    </row>
    <row r="3111" spans="4:5" x14ac:dyDescent="0.25">
      <c r="D3111" s="2"/>
      <c r="E3111" s="2"/>
    </row>
    <row r="3112" spans="4:5" x14ac:dyDescent="0.25">
      <c r="D3112" s="2"/>
      <c r="E3112" s="2"/>
    </row>
    <row r="3113" spans="4:5" x14ac:dyDescent="0.25">
      <c r="D3113" s="2"/>
      <c r="E3113" s="2"/>
    </row>
    <row r="3114" spans="4:5" x14ac:dyDescent="0.25">
      <c r="D3114" s="2"/>
      <c r="E3114" s="2"/>
    </row>
    <row r="3115" spans="4:5" x14ac:dyDescent="0.25">
      <c r="D3115" s="2"/>
      <c r="E3115" s="2"/>
    </row>
    <row r="3116" spans="4:5" x14ac:dyDescent="0.25">
      <c r="D3116" s="2"/>
      <c r="E3116" s="2"/>
    </row>
    <row r="3117" spans="4:5" x14ac:dyDescent="0.25">
      <c r="D3117" s="2"/>
      <c r="E3117" s="2"/>
    </row>
    <row r="3118" spans="4:5" x14ac:dyDescent="0.25">
      <c r="D3118" s="2"/>
      <c r="E3118" s="2"/>
    </row>
    <row r="3119" spans="4:5" x14ac:dyDescent="0.25">
      <c r="D3119" s="2"/>
      <c r="E3119" s="2"/>
    </row>
    <row r="3120" spans="4:5" x14ac:dyDescent="0.25">
      <c r="D3120" s="2"/>
      <c r="E3120" s="2"/>
    </row>
    <row r="3121" spans="4:5" x14ac:dyDescent="0.25">
      <c r="D3121" s="2"/>
      <c r="E3121" s="2"/>
    </row>
    <row r="3122" spans="4:5" x14ac:dyDescent="0.25">
      <c r="D3122" s="2"/>
      <c r="E3122" s="2"/>
    </row>
    <row r="3123" spans="4:5" x14ac:dyDescent="0.25">
      <c r="D3123" s="2"/>
      <c r="E3123" s="2"/>
    </row>
    <row r="3124" spans="4:5" x14ac:dyDescent="0.25">
      <c r="D3124" s="2"/>
      <c r="E3124" s="2"/>
    </row>
    <row r="3125" spans="4:5" x14ac:dyDescent="0.25">
      <c r="D3125" s="2"/>
      <c r="E3125" s="2"/>
    </row>
    <row r="3126" spans="4:5" x14ac:dyDescent="0.25">
      <c r="D3126" s="2"/>
      <c r="E3126" s="2"/>
    </row>
    <row r="3127" spans="4:5" x14ac:dyDescent="0.25">
      <c r="D3127" s="2"/>
      <c r="E3127" s="2"/>
    </row>
    <row r="3128" spans="4:5" x14ac:dyDescent="0.25">
      <c r="D3128" s="2"/>
      <c r="E3128" s="2"/>
    </row>
    <row r="3129" spans="4:5" x14ac:dyDescent="0.25">
      <c r="D3129" s="2"/>
      <c r="E3129" s="2"/>
    </row>
    <row r="3130" spans="4:5" x14ac:dyDescent="0.25">
      <c r="D3130" s="2"/>
      <c r="E3130" s="2"/>
    </row>
    <row r="3131" spans="4:5" x14ac:dyDescent="0.25">
      <c r="D3131" s="2"/>
      <c r="E3131" s="2"/>
    </row>
    <row r="3132" spans="4:5" x14ac:dyDescent="0.25">
      <c r="D3132" s="2"/>
      <c r="E3132" s="2"/>
    </row>
    <row r="3133" spans="4:5" x14ac:dyDescent="0.25">
      <c r="D3133" s="2"/>
      <c r="E3133" s="2"/>
    </row>
    <row r="3134" spans="4:5" x14ac:dyDescent="0.25">
      <c r="D3134" s="2"/>
      <c r="E3134" s="2"/>
    </row>
    <row r="3135" spans="4:5" x14ac:dyDescent="0.25">
      <c r="D3135" s="2"/>
      <c r="E3135" s="2"/>
    </row>
    <row r="3136" spans="4:5" x14ac:dyDescent="0.25">
      <c r="D3136" s="2"/>
      <c r="E3136" s="2"/>
    </row>
    <row r="3137" spans="4:5" x14ac:dyDescent="0.25">
      <c r="D3137" s="2"/>
      <c r="E3137" s="2"/>
    </row>
    <row r="3138" spans="4:5" x14ac:dyDescent="0.25">
      <c r="D3138" s="2"/>
      <c r="E3138" s="2"/>
    </row>
    <row r="3139" spans="4:5" x14ac:dyDescent="0.25">
      <c r="D3139" s="2"/>
      <c r="E3139" s="2"/>
    </row>
    <row r="3140" spans="4:5" x14ac:dyDescent="0.25">
      <c r="D3140" s="2"/>
      <c r="E3140" s="2"/>
    </row>
    <row r="3141" spans="4:5" x14ac:dyDescent="0.25">
      <c r="D3141" s="2"/>
      <c r="E3141" s="2"/>
    </row>
    <row r="3142" spans="4:5" x14ac:dyDescent="0.25">
      <c r="D3142" s="2"/>
      <c r="E3142" s="2"/>
    </row>
    <row r="3143" spans="4:5" x14ac:dyDescent="0.25">
      <c r="D3143" s="2"/>
      <c r="E3143" s="2"/>
    </row>
    <row r="3144" spans="4:5" x14ac:dyDescent="0.25">
      <c r="D3144" s="2"/>
      <c r="E3144" s="2"/>
    </row>
    <row r="3145" spans="4:5" x14ac:dyDescent="0.25">
      <c r="D3145" s="2"/>
      <c r="E3145" s="2"/>
    </row>
    <row r="3146" spans="4:5" x14ac:dyDescent="0.25">
      <c r="D3146" s="2"/>
      <c r="E3146" s="2"/>
    </row>
    <row r="3147" spans="4:5" x14ac:dyDescent="0.25">
      <c r="D3147" s="2"/>
      <c r="E3147" s="2"/>
    </row>
    <row r="3148" spans="4:5" x14ac:dyDescent="0.25">
      <c r="D3148" s="2"/>
      <c r="E3148" s="2"/>
    </row>
    <row r="3149" spans="4:5" x14ac:dyDescent="0.25">
      <c r="D3149" s="2"/>
      <c r="E3149" s="2"/>
    </row>
    <row r="3150" spans="4:5" x14ac:dyDescent="0.25">
      <c r="D3150" s="2"/>
      <c r="E3150" s="2"/>
    </row>
    <row r="3151" spans="4:5" x14ac:dyDescent="0.25">
      <c r="D3151" s="2"/>
      <c r="E3151" s="2"/>
    </row>
    <row r="3152" spans="4:5" x14ac:dyDescent="0.25">
      <c r="D3152" s="2"/>
      <c r="E3152" s="2"/>
    </row>
    <row r="3153" spans="4:5" x14ac:dyDescent="0.25">
      <c r="D3153" s="2"/>
      <c r="E3153" s="2"/>
    </row>
    <row r="3154" spans="4:5" x14ac:dyDescent="0.25">
      <c r="D3154" s="2"/>
      <c r="E3154" s="2"/>
    </row>
    <row r="3155" spans="4:5" x14ac:dyDescent="0.25">
      <c r="D3155" s="2"/>
      <c r="E3155" s="2"/>
    </row>
    <row r="3156" spans="4:5" x14ac:dyDescent="0.25">
      <c r="D3156" s="2"/>
      <c r="E3156" s="2"/>
    </row>
    <row r="3157" spans="4:5" x14ac:dyDescent="0.25">
      <c r="D3157" s="2"/>
      <c r="E3157" s="2"/>
    </row>
    <row r="3158" spans="4:5" x14ac:dyDescent="0.25">
      <c r="D3158" s="2"/>
      <c r="E3158" s="2"/>
    </row>
    <row r="3159" spans="4:5" x14ac:dyDescent="0.25">
      <c r="D3159" s="2"/>
      <c r="E3159" s="2"/>
    </row>
    <row r="3160" spans="4:5" x14ac:dyDescent="0.25">
      <c r="D3160" s="2"/>
      <c r="E3160" s="2"/>
    </row>
    <row r="3161" spans="4:5" x14ac:dyDescent="0.25">
      <c r="D3161" s="2"/>
      <c r="E3161" s="2"/>
    </row>
    <row r="3162" spans="4:5" x14ac:dyDescent="0.25">
      <c r="D3162" s="2"/>
      <c r="E3162" s="2"/>
    </row>
    <row r="3163" spans="4:5" x14ac:dyDescent="0.25">
      <c r="D3163" s="2"/>
      <c r="E3163" s="2"/>
    </row>
    <row r="3164" spans="4:5" x14ac:dyDescent="0.25">
      <c r="D3164" s="2"/>
      <c r="E3164" s="2"/>
    </row>
    <row r="3165" spans="4:5" x14ac:dyDescent="0.25">
      <c r="D3165" s="2"/>
      <c r="E3165" s="2"/>
    </row>
    <row r="3166" spans="4:5" x14ac:dyDescent="0.25">
      <c r="D3166" s="2"/>
      <c r="E3166" s="2"/>
    </row>
    <row r="3167" spans="4:5" x14ac:dyDescent="0.25">
      <c r="D3167" s="2"/>
      <c r="E3167" s="2"/>
    </row>
    <row r="3168" spans="4:5" x14ac:dyDescent="0.25">
      <c r="D3168" s="2"/>
      <c r="E3168" s="2"/>
    </row>
    <row r="3169" spans="4:5" x14ac:dyDescent="0.25">
      <c r="D3169" s="2"/>
      <c r="E3169" s="2"/>
    </row>
    <row r="3170" spans="4:5" x14ac:dyDescent="0.25">
      <c r="D3170" s="2"/>
      <c r="E3170" s="2"/>
    </row>
    <row r="3171" spans="4:5" x14ac:dyDescent="0.25">
      <c r="D3171" s="2"/>
      <c r="E3171" s="2"/>
    </row>
    <row r="3172" spans="4:5" x14ac:dyDescent="0.25">
      <c r="D3172" s="2"/>
      <c r="E3172" s="2"/>
    </row>
    <row r="3173" spans="4:5" x14ac:dyDescent="0.25">
      <c r="D3173" s="2"/>
      <c r="E3173" s="2"/>
    </row>
    <row r="3174" spans="4:5" x14ac:dyDescent="0.25">
      <c r="D3174" s="2"/>
      <c r="E3174" s="2"/>
    </row>
    <row r="3175" spans="4:5" x14ac:dyDescent="0.25">
      <c r="D3175" s="2"/>
      <c r="E3175" s="2"/>
    </row>
    <row r="3176" spans="4:5" x14ac:dyDescent="0.25">
      <c r="D3176" s="2"/>
      <c r="E3176" s="2"/>
    </row>
    <row r="3177" spans="4:5" x14ac:dyDescent="0.25">
      <c r="D3177" s="2"/>
      <c r="E3177" s="2"/>
    </row>
    <row r="3178" spans="4:5" x14ac:dyDescent="0.25">
      <c r="D3178" s="2"/>
      <c r="E3178" s="2"/>
    </row>
    <row r="3179" spans="4:5" x14ac:dyDescent="0.25">
      <c r="D3179" s="2"/>
      <c r="E3179" s="2"/>
    </row>
    <row r="3180" spans="4:5" x14ac:dyDescent="0.25">
      <c r="D3180" s="2"/>
      <c r="E3180" s="2"/>
    </row>
    <row r="3181" spans="4:5" x14ac:dyDescent="0.25">
      <c r="D3181" s="2"/>
      <c r="E3181" s="2"/>
    </row>
    <row r="3182" spans="4:5" x14ac:dyDescent="0.25">
      <c r="D3182" s="2"/>
      <c r="E3182" s="2"/>
    </row>
    <row r="3183" spans="4:5" x14ac:dyDescent="0.25">
      <c r="D3183" s="2"/>
      <c r="E3183" s="2"/>
    </row>
    <row r="3184" spans="4:5" x14ac:dyDescent="0.25">
      <c r="D3184" s="2"/>
      <c r="E3184" s="2"/>
    </row>
    <row r="3185" spans="4:5" x14ac:dyDescent="0.25">
      <c r="D3185" s="2"/>
      <c r="E3185" s="2"/>
    </row>
    <row r="3186" spans="4:5" x14ac:dyDescent="0.25">
      <c r="D3186" s="2"/>
      <c r="E3186" s="2"/>
    </row>
    <row r="3187" spans="4:5" x14ac:dyDescent="0.25">
      <c r="D3187" s="2"/>
      <c r="E3187" s="2"/>
    </row>
    <row r="3188" spans="4:5" x14ac:dyDescent="0.25">
      <c r="D3188" s="2"/>
      <c r="E3188" s="2"/>
    </row>
    <row r="3189" spans="4:5" x14ac:dyDescent="0.25">
      <c r="D3189" s="2"/>
      <c r="E3189" s="2"/>
    </row>
    <row r="3190" spans="4:5" x14ac:dyDescent="0.25">
      <c r="D3190" s="2"/>
      <c r="E3190" s="2"/>
    </row>
    <row r="3191" spans="4:5" x14ac:dyDescent="0.25">
      <c r="D3191" s="2"/>
      <c r="E3191" s="2"/>
    </row>
    <row r="3192" spans="4:5" x14ac:dyDescent="0.25">
      <c r="D3192" s="2"/>
      <c r="E3192" s="2"/>
    </row>
    <row r="3193" spans="4:5" x14ac:dyDescent="0.25">
      <c r="D3193" s="2"/>
      <c r="E3193" s="2"/>
    </row>
    <row r="3194" spans="4:5" x14ac:dyDescent="0.25">
      <c r="D3194" s="2"/>
      <c r="E3194" s="2"/>
    </row>
    <row r="3195" spans="4:5" x14ac:dyDescent="0.25">
      <c r="D3195" s="2"/>
      <c r="E3195" s="2"/>
    </row>
    <row r="3196" spans="4:5" x14ac:dyDescent="0.25">
      <c r="D3196" s="2"/>
      <c r="E3196" s="2"/>
    </row>
    <row r="3197" spans="4:5" x14ac:dyDescent="0.25">
      <c r="D3197" s="2"/>
      <c r="E3197" s="2"/>
    </row>
    <row r="3198" spans="4:5" x14ac:dyDescent="0.25">
      <c r="D3198" s="2"/>
      <c r="E3198" s="2"/>
    </row>
    <row r="3199" spans="4:5" x14ac:dyDescent="0.25">
      <c r="D3199" s="2"/>
      <c r="E3199" s="2"/>
    </row>
    <row r="3200" spans="4:5" x14ac:dyDescent="0.25">
      <c r="D3200" s="2"/>
      <c r="E3200" s="2"/>
    </row>
    <row r="3201" spans="4:5" x14ac:dyDescent="0.25">
      <c r="D3201" s="2"/>
      <c r="E3201" s="2"/>
    </row>
    <row r="3202" spans="4:5" x14ac:dyDescent="0.25">
      <c r="D3202" s="2"/>
      <c r="E3202" s="2"/>
    </row>
    <row r="3203" spans="4:5" x14ac:dyDescent="0.25">
      <c r="D3203" s="2"/>
      <c r="E3203" s="2"/>
    </row>
    <row r="3204" spans="4:5" x14ac:dyDescent="0.25">
      <c r="D3204" s="2"/>
      <c r="E3204" s="2"/>
    </row>
    <row r="3205" spans="4:5" x14ac:dyDescent="0.25">
      <c r="D3205" s="2"/>
      <c r="E3205" s="2"/>
    </row>
    <row r="3206" spans="4:5" x14ac:dyDescent="0.25">
      <c r="D3206" s="2"/>
      <c r="E3206" s="2"/>
    </row>
    <row r="3207" spans="4:5" x14ac:dyDescent="0.25">
      <c r="D3207" s="2"/>
      <c r="E3207" s="2"/>
    </row>
    <row r="3208" spans="4:5" x14ac:dyDescent="0.25">
      <c r="D3208" s="2"/>
      <c r="E3208" s="2"/>
    </row>
    <row r="3209" spans="4:5" x14ac:dyDescent="0.25">
      <c r="D3209" s="2"/>
      <c r="E3209" s="2"/>
    </row>
    <row r="3210" spans="4:5" x14ac:dyDescent="0.25">
      <c r="D3210" s="2"/>
      <c r="E3210" s="2"/>
    </row>
    <row r="3211" spans="4:5" x14ac:dyDescent="0.25">
      <c r="D3211" s="2"/>
      <c r="E3211" s="2"/>
    </row>
    <row r="3212" spans="4:5" x14ac:dyDescent="0.25">
      <c r="D3212" s="2"/>
      <c r="E3212" s="2"/>
    </row>
    <row r="3213" spans="4:5" x14ac:dyDescent="0.25">
      <c r="D3213" s="2"/>
      <c r="E3213" s="2"/>
    </row>
    <row r="3214" spans="4:5" x14ac:dyDescent="0.25">
      <c r="D3214" s="2"/>
      <c r="E3214" s="2"/>
    </row>
    <row r="3215" spans="4:5" x14ac:dyDescent="0.25">
      <c r="D3215" s="2"/>
      <c r="E3215" s="2"/>
    </row>
    <row r="3216" spans="4:5" x14ac:dyDescent="0.25">
      <c r="D3216" s="2"/>
      <c r="E3216" s="2"/>
    </row>
    <row r="3217" spans="4:5" x14ac:dyDescent="0.25">
      <c r="D3217" s="2"/>
      <c r="E3217" s="2"/>
    </row>
    <row r="3218" spans="4:5" x14ac:dyDescent="0.25">
      <c r="D3218" s="2"/>
      <c r="E3218" s="2"/>
    </row>
    <row r="3219" spans="4:5" x14ac:dyDescent="0.25">
      <c r="D3219" s="2"/>
      <c r="E3219" s="2"/>
    </row>
    <row r="3220" spans="4:5" x14ac:dyDescent="0.25">
      <c r="D3220" s="2"/>
      <c r="E3220" s="2"/>
    </row>
    <row r="3221" spans="4:5" x14ac:dyDescent="0.25">
      <c r="D3221" s="2"/>
      <c r="E3221" s="2"/>
    </row>
    <row r="3222" spans="4:5" x14ac:dyDescent="0.25">
      <c r="D3222" s="2"/>
      <c r="E3222" s="2"/>
    </row>
    <row r="3223" spans="4:5" x14ac:dyDescent="0.25">
      <c r="D3223" s="2"/>
      <c r="E3223" s="2"/>
    </row>
    <row r="3224" spans="4:5" x14ac:dyDescent="0.25">
      <c r="D3224" s="2"/>
      <c r="E3224" s="2"/>
    </row>
    <row r="3225" spans="4:5" x14ac:dyDescent="0.25">
      <c r="D3225" s="2"/>
      <c r="E3225" s="2"/>
    </row>
    <row r="3226" spans="4:5" x14ac:dyDescent="0.25">
      <c r="D3226" s="2"/>
      <c r="E3226" s="2"/>
    </row>
    <row r="3227" spans="4:5" x14ac:dyDescent="0.25">
      <c r="D3227" s="2"/>
      <c r="E3227" s="2"/>
    </row>
    <row r="3228" spans="4:5" x14ac:dyDescent="0.25">
      <c r="D3228" s="2"/>
      <c r="E3228" s="2"/>
    </row>
    <row r="3229" spans="4:5" x14ac:dyDescent="0.25">
      <c r="D3229" s="2"/>
      <c r="E3229" s="2"/>
    </row>
    <row r="3230" spans="4:5" x14ac:dyDescent="0.25">
      <c r="D3230" s="2"/>
      <c r="E3230" s="2"/>
    </row>
    <row r="3231" spans="4:5" x14ac:dyDescent="0.25">
      <c r="D3231" s="2"/>
      <c r="E3231" s="2"/>
    </row>
    <row r="3232" spans="4:5" x14ac:dyDescent="0.25">
      <c r="D3232" s="2"/>
      <c r="E3232" s="2"/>
    </row>
    <row r="3233" spans="4:5" x14ac:dyDescent="0.25">
      <c r="D3233" s="2"/>
      <c r="E3233" s="2"/>
    </row>
    <row r="3234" spans="4:5" x14ac:dyDescent="0.25">
      <c r="D3234" s="2"/>
      <c r="E3234" s="2"/>
    </row>
    <row r="3235" spans="4:5" x14ac:dyDescent="0.25">
      <c r="D3235" s="2"/>
      <c r="E3235" s="2"/>
    </row>
    <row r="3236" spans="4:5" x14ac:dyDescent="0.25">
      <c r="D3236" s="2"/>
      <c r="E3236" s="2"/>
    </row>
    <row r="3237" spans="4:5" x14ac:dyDescent="0.25">
      <c r="D3237" s="2"/>
      <c r="E3237" s="2"/>
    </row>
    <row r="3238" spans="4:5" x14ac:dyDescent="0.25">
      <c r="D3238" s="2"/>
      <c r="E3238" s="2"/>
    </row>
    <row r="3239" spans="4:5" x14ac:dyDescent="0.25">
      <c r="D3239" s="2"/>
      <c r="E3239" s="2"/>
    </row>
    <row r="3240" spans="4:5" x14ac:dyDescent="0.25">
      <c r="D3240" s="2"/>
      <c r="E3240" s="2"/>
    </row>
    <row r="3241" spans="4:5" x14ac:dyDescent="0.25">
      <c r="D3241" s="2"/>
      <c r="E3241" s="2"/>
    </row>
    <row r="3242" spans="4:5" x14ac:dyDescent="0.25">
      <c r="D3242" s="2"/>
      <c r="E3242" s="2"/>
    </row>
    <row r="3243" spans="4:5" x14ac:dyDescent="0.25">
      <c r="D3243" s="2"/>
      <c r="E3243" s="2"/>
    </row>
    <row r="3244" spans="4:5" x14ac:dyDescent="0.25">
      <c r="D3244" s="2"/>
      <c r="E3244" s="2"/>
    </row>
    <row r="3245" spans="4:5" x14ac:dyDescent="0.25">
      <c r="D3245" s="2"/>
      <c r="E3245" s="2"/>
    </row>
    <row r="3246" spans="4:5" x14ac:dyDescent="0.25">
      <c r="D3246" s="2"/>
      <c r="E3246" s="2"/>
    </row>
    <row r="3247" spans="4:5" x14ac:dyDescent="0.25">
      <c r="D3247" s="2"/>
      <c r="E3247" s="2"/>
    </row>
    <row r="3248" spans="4:5" x14ac:dyDescent="0.25">
      <c r="D3248" s="2"/>
      <c r="E3248" s="2"/>
    </row>
    <row r="3249" spans="4:5" x14ac:dyDescent="0.25">
      <c r="D3249" s="2"/>
      <c r="E3249" s="2"/>
    </row>
    <row r="3250" spans="4:5" x14ac:dyDescent="0.25">
      <c r="D3250" s="2"/>
      <c r="E3250" s="2"/>
    </row>
    <row r="3251" spans="4:5" x14ac:dyDescent="0.25">
      <c r="D3251" s="2"/>
      <c r="E3251" s="2"/>
    </row>
    <row r="3252" spans="4:5" x14ac:dyDescent="0.25">
      <c r="D3252" s="2"/>
      <c r="E3252" s="2"/>
    </row>
    <row r="3253" spans="4:5" x14ac:dyDescent="0.25">
      <c r="D3253" s="2"/>
      <c r="E3253" s="2"/>
    </row>
    <row r="3254" spans="4:5" x14ac:dyDescent="0.25">
      <c r="D3254" s="2"/>
      <c r="E3254" s="2"/>
    </row>
    <row r="3255" spans="4:5" x14ac:dyDescent="0.25">
      <c r="D3255" s="2"/>
      <c r="E3255" s="2"/>
    </row>
    <row r="3256" spans="4:5" x14ac:dyDescent="0.25">
      <c r="D3256" s="2"/>
      <c r="E3256" s="2"/>
    </row>
    <row r="3257" spans="4:5" x14ac:dyDescent="0.25">
      <c r="D3257" s="2"/>
      <c r="E3257" s="2"/>
    </row>
    <row r="3258" spans="4:5" x14ac:dyDescent="0.25">
      <c r="D3258" s="2"/>
      <c r="E3258" s="2"/>
    </row>
    <row r="3259" spans="4:5" x14ac:dyDescent="0.25">
      <c r="D3259" s="2"/>
      <c r="E3259" s="2"/>
    </row>
    <row r="3260" spans="4:5" x14ac:dyDescent="0.25">
      <c r="D3260" s="2"/>
      <c r="E3260" s="2"/>
    </row>
    <row r="3261" spans="4:5" x14ac:dyDescent="0.25">
      <c r="D3261" s="2"/>
      <c r="E3261" s="2"/>
    </row>
    <row r="3262" spans="4:5" x14ac:dyDescent="0.25">
      <c r="D3262" s="2"/>
      <c r="E3262" s="2"/>
    </row>
    <row r="3263" spans="4:5" x14ac:dyDescent="0.25">
      <c r="D3263" s="2"/>
      <c r="E3263" s="2"/>
    </row>
    <row r="3264" spans="4:5" x14ac:dyDescent="0.25">
      <c r="D3264" s="2"/>
      <c r="E3264" s="2"/>
    </row>
    <row r="3265" spans="4:5" x14ac:dyDescent="0.25">
      <c r="D3265" s="2"/>
      <c r="E3265" s="2"/>
    </row>
    <row r="3266" spans="4:5" x14ac:dyDescent="0.25">
      <c r="D3266" s="2"/>
      <c r="E3266" s="2"/>
    </row>
    <row r="3267" spans="4:5" x14ac:dyDescent="0.25">
      <c r="D3267" s="2"/>
      <c r="E3267" s="2"/>
    </row>
    <row r="3268" spans="4:5" x14ac:dyDescent="0.25">
      <c r="D3268" s="2"/>
      <c r="E3268" s="2"/>
    </row>
    <row r="3269" spans="4:5" x14ac:dyDescent="0.25">
      <c r="D3269" s="2"/>
      <c r="E3269" s="2"/>
    </row>
    <row r="3270" spans="4:5" x14ac:dyDescent="0.25">
      <c r="D3270" s="2"/>
      <c r="E3270" s="2"/>
    </row>
    <row r="3271" spans="4:5" x14ac:dyDescent="0.25">
      <c r="D3271" s="2"/>
      <c r="E3271" s="2"/>
    </row>
    <row r="3272" spans="4:5" x14ac:dyDescent="0.25">
      <c r="D3272" s="2"/>
      <c r="E3272" s="2"/>
    </row>
    <row r="3273" spans="4:5" x14ac:dyDescent="0.25">
      <c r="D3273" s="2"/>
      <c r="E3273" s="2"/>
    </row>
    <row r="3274" spans="4:5" x14ac:dyDescent="0.25">
      <c r="D3274" s="2"/>
      <c r="E3274" s="2"/>
    </row>
    <row r="3275" spans="4:5" x14ac:dyDescent="0.25">
      <c r="D3275" s="2"/>
      <c r="E3275" s="2"/>
    </row>
    <row r="3276" spans="4:5" x14ac:dyDescent="0.25">
      <c r="D3276" s="2"/>
      <c r="E3276" s="2"/>
    </row>
    <row r="3277" spans="4:5" x14ac:dyDescent="0.25">
      <c r="D3277" s="2"/>
      <c r="E3277" s="2"/>
    </row>
    <row r="3278" spans="4:5" x14ac:dyDescent="0.25">
      <c r="D3278" s="2"/>
      <c r="E3278" s="2"/>
    </row>
    <row r="3279" spans="4:5" x14ac:dyDescent="0.25">
      <c r="D3279" s="2"/>
      <c r="E3279" s="2"/>
    </row>
    <row r="3280" spans="4:5" x14ac:dyDescent="0.25">
      <c r="D3280" s="2"/>
      <c r="E3280" s="2"/>
    </row>
    <row r="3281" spans="4:5" x14ac:dyDescent="0.25">
      <c r="D3281" s="2"/>
      <c r="E3281" s="2"/>
    </row>
    <row r="3282" spans="4:5" x14ac:dyDescent="0.25">
      <c r="D3282" s="2"/>
      <c r="E3282" s="2"/>
    </row>
    <row r="3283" spans="4:5" x14ac:dyDescent="0.25">
      <c r="D3283" s="2"/>
      <c r="E3283" s="2"/>
    </row>
    <row r="3284" spans="4:5" x14ac:dyDescent="0.25">
      <c r="D3284" s="2"/>
      <c r="E3284" s="2"/>
    </row>
    <row r="3285" spans="4:5" x14ac:dyDescent="0.25">
      <c r="D3285" s="2"/>
      <c r="E3285" s="2"/>
    </row>
    <row r="3286" spans="4:5" x14ac:dyDescent="0.25">
      <c r="D3286" s="2"/>
      <c r="E3286" s="2"/>
    </row>
    <row r="3287" spans="4:5" x14ac:dyDescent="0.25">
      <c r="D3287" s="2"/>
      <c r="E3287" s="2"/>
    </row>
    <row r="3288" spans="4:5" x14ac:dyDescent="0.25">
      <c r="D3288" s="2"/>
      <c r="E3288" s="2"/>
    </row>
    <row r="3289" spans="4:5" x14ac:dyDescent="0.25">
      <c r="D3289" s="2"/>
      <c r="E3289" s="2"/>
    </row>
    <row r="3290" spans="4:5" x14ac:dyDescent="0.25">
      <c r="D3290" s="2"/>
      <c r="E3290" s="2"/>
    </row>
    <row r="3291" spans="4:5" x14ac:dyDescent="0.25">
      <c r="D3291" s="2"/>
      <c r="E3291" s="2"/>
    </row>
    <row r="3292" spans="4:5" x14ac:dyDescent="0.25">
      <c r="D3292" s="2"/>
      <c r="E3292" s="2"/>
    </row>
    <row r="3293" spans="4:5" x14ac:dyDescent="0.25">
      <c r="D3293" s="2"/>
      <c r="E3293" s="2"/>
    </row>
    <row r="3294" spans="4:5" x14ac:dyDescent="0.25">
      <c r="D3294" s="2"/>
      <c r="E3294" s="2"/>
    </row>
    <row r="3295" spans="4:5" x14ac:dyDescent="0.25">
      <c r="D3295" s="2"/>
      <c r="E3295" s="2"/>
    </row>
    <row r="3296" spans="4:5" x14ac:dyDescent="0.25">
      <c r="D3296" s="2"/>
      <c r="E3296" s="2"/>
    </row>
    <row r="3297" spans="4:5" x14ac:dyDescent="0.25">
      <c r="D3297" s="2"/>
      <c r="E3297" s="2"/>
    </row>
    <row r="3298" spans="4:5" x14ac:dyDescent="0.25">
      <c r="D3298" s="2"/>
      <c r="E3298" s="2"/>
    </row>
    <row r="3299" spans="4:5" x14ac:dyDescent="0.25">
      <c r="D3299" s="2"/>
      <c r="E3299" s="2"/>
    </row>
    <row r="3300" spans="4:5" x14ac:dyDescent="0.25">
      <c r="D3300" s="2"/>
      <c r="E3300" s="2"/>
    </row>
    <row r="3301" spans="4:5" x14ac:dyDescent="0.25">
      <c r="D3301" s="2"/>
      <c r="E3301" s="2"/>
    </row>
    <row r="3302" spans="4:5" x14ac:dyDescent="0.25">
      <c r="D3302" s="2"/>
      <c r="E3302" s="2"/>
    </row>
    <row r="3303" spans="4:5" x14ac:dyDescent="0.25">
      <c r="D3303" s="2"/>
      <c r="E3303" s="2"/>
    </row>
    <row r="3304" spans="4:5" x14ac:dyDescent="0.25">
      <c r="D3304" s="2"/>
      <c r="E3304" s="2"/>
    </row>
    <row r="3305" spans="4:5" x14ac:dyDescent="0.25">
      <c r="D3305" s="2"/>
      <c r="E3305" s="2"/>
    </row>
    <row r="3306" spans="4:5" x14ac:dyDescent="0.25">
      <c r="D3306" s="2"/>
      <c r="E3306" s="2"/>
    </row>
    <row r="3307" spans="4:5" x14ac:dyDescent="0.25">
      <c r="D3307" s="2"/>
      <c r="E3307" s="2"/>
    </row>
    <row r="3308" spans="4:5" x14ac:dyDescent="0.25">
      <c r="D3308" s="2"/>
      <c r="E3308" s="2"/>
    </row>
    <row r="3309" spans="4:5" x14ac:dyDescent="0.25">
      <c r="D3309" s="2"/>
      <c r="E3309" s="2"/>
    </row>
    <row r="3310" spans="4:5" x14ac:dyDescent="0.25">
      <c r="D3310" s="2"/>
      <c r="E3310" s="2"/>
    </row>
    <row r="3311" spans="4:5" x14ac:dyDescent="0.25">
      <c r="D3311" s="2"/>
      <c r="E3311" s="2"/>
    </row>
    <row r="3312" spans="4:5" x14ac:dyDescent="0.25">
      <c r="D3312" s="2"/>
      <c r="E3312" s="2"/>
    </row>
    <row r="3313" spans="4:5" x14ac:dyDescent="0.25">
      <c r="D3313" s="2"/>
      <c r="E3313" s="2"/>
    </row>
    <row r="3314" spans="4:5" x14ac:dyDescent="0.25">
      <c r="D3314" s="2"/>
      <c r="E3314" s="2"/>
    </row>
    <row r="3315" spans="4:5" x14ac:dyDescent="0.25">
      <c r="D3315" s="2"/>
      <c r="E3315" s="2"/>
    </row>
    <row r="3316" spans="4:5" x14ac:dyDescent="0.25">
      <c r="D3316" s="2"/>
      <c r="E3316" s="2"/>
    </row>
    <row r="3317" spans="4:5" x14ac:dyDescent="0.25">
      <c r="D3317" s="2"/>
      <c r="E3317" s="2"/>
    </row>
    <row r="3318" spans="4:5" x14ac:dyDescent="0.25">
      <c r="D3318" s="2"/>
      <c r="E3318" s="2"/>
    </row>
    <row r="3319" spans="4:5" x14ac:dyDescent="0.25">
      <c r="D3319" s="2"/>
      <c r="E3319" s="2"/>
    </row>
    <row r="3320" spans="4:5" x14ac:dyDescent="0.25">
      <c r="D3320" s="2"/>
      <c r="E3320" s="2"/>
    </row>
    <row r="3321" spans="4:5" x14ac:dyDescent="0.25">
      <c r="D3321" s="2"/>
      <c r="E3321" s="2"/>
    </row>
    <row r="3322" spans="4:5" x14ac:dyDescent="0.25">
      <c r="D3322" s="2"/>
      <c r="E3322" s="2"/>
    </row>
    <row r="3323" spans="4:5" x14ac:dyDescent="0.25">
      <c r="D3323" s="2"/>
      <c r="E3323" s="2"/>
    </row>
    <row r="3324" spans="4:5" x14ac:dyDescent="0.25">
      <c r="D3324" s="2"/>
      <c r="E3324" s="2"/>
    </row>
    <row r="3325" spans="4:5" x14ac:dyDescent="0.25">
      <c r="D3325" s="2"/>
      <c r="E3325" s="2"/>
    </row>
    <row r="3326" spans="4:5" x14ac:dyDescent="0.25">
      <c r="D3326" s="2"/>
      <c r="E3326" s="2"/>
    </row>
    <row r="3327" spans="4:5" x14ac:dyDescent="0.25">
      <c r="D3327" s="2"/>
      <c r="E3327" s="2"/>
    </row>
    <row r="3328" spans="4:5" x14ac:dyDescent="0.25">
      <c r="D3328" s="2"/>
      <c r="E3328" s="2"/>
    </row>
    <row r="3329" spans="4:5" x14ac:dyDescent="0.25">
      <c r="D3329" s="2"/>
      <c r="E3329" s="2"/>
    </row>
    <row r="3330" spans="4:5" x14ac:dyDescent="0.25">
      <c r="D3330" s="2"/>
      <c r="E3330" s="2"/>
    </row>
    <row r="3331" spans="4:5" x14ac:dyDescent="0.25">
      <c r="D3331" s="2"/>
      <c r="E3331" s="2"/>
    </row>
    <row r="3332" spans="4:5" x14ac:dyDescent="0.25">
      <c r="D3332" s="2"/>
      <c r="E3332" s="2"/>
    </row>
    <row r="3333" spans="4:5" x14ac:dyDescent="0.25">
      <c r="D3333" s="2"/>
      <c r="E3333" s="2"/>
    </row>
    <row r="3334" spans="4:5" x14ac:dyDescent="0.25">
      <c r="D3334" s="2"/>
      <c r="E3334" s="2"/>
    </row>
    <row r="3335" spans="4:5" x14ac:dyDescent="0.25">
      <c r="D3335" s="2"/>
      <c r="E3335" s="2"/>
    </row>
    <row r="3336" spans="4:5" x14ac:dyDescent="0.25">
      <c r="D3336" s="2"/>
      <c r="E3336" s="2"/>
    </row>
    <row r="3337" spans="4:5" x14ac:dyDescent="0.25">
      <c r="D3337" s="2"/>
      <c r="E3337" s="2"/>
    </row>
    <row r="3338" spans="4:5" x14ac:dyDescent="0.25">
      <c r="D3338" s="2"/>
      <c r="E3338" s="2"/>
    </row>
    <row r="3339" spans="4:5" x14ac:dyDescent="0.25">
      <c r="D3339" s="2"/>
      <c r="E3339" s="2"/>
    </row>
    <row r="3340" spans="4:5" x14ac:dyDescent="0.25">
      <c r="D3340" s="2"/>
      <c r="E3340" s="2"/>
    </row>
    <row r="3341" spans="4:5" x14ac:dyDescent="0.25">
      <c r="D3341" s="2"/>
      <c r="E3341" s="2"/>
    </row>
    <row r="3342" spans="4:5" x14ac:dyDescent="0.25">
      <c r="D3342" s="2"/>
      <c r="E3342" s="2"/>
    </row>
    <row r="3343" spans="4:5" x14ac:dyDescent="0.25">
      <c r="D3343" s="2"/>
      <c r="E3343" s="2"/>
    </row>
    <row r="3344" spans="4:5" x14ac:dyDescent="0.25">
      <c r="D3344" s="2"/>
      <c r="E3344" s="2"/>
    </row>
    <row r="3345" spans="4:5" x14ac:dyDescent="0.25">
      <c r="D3345" s="2"/>
      <c r="E3345" s="2"/>
    </row>
    <row r="3346" spans="4:5" x14ac:dyDescent="0.25">
      <c r="D3346" s="2"/>
      <c r="E3346" s="2"/>
    </row>
    <row r="3347" spans="4:5" x14ac:dyDescent="0.25">
      <c r="D3347" s="2"/>
      <c r="E3347" s="2"/>
    </row>
    <row r="3348" spans="4:5" x14ac:dyDescent="0.25">
      <c r="D3348" s="2"/>
      <c r="E3348" s="2"/>
    </row>
    <row r="3349" spans="4:5" x14ac:dyDescent="0.25">
      <c r="D3349" s="2"/>
      <c r="E3349" s="2"/>
    </row>
    <row r="3350" spans="4:5" x14ac:dyDescent="0.25">
      <c r="D3350" s="2"/>
      <c r="E3350" s="2"/>
    </row>
    <row r="3351" spans="4:5" x14ac:dyDescent="0.25">
      <c r="D3351" s="2"/>
      <c r="E3351" s="2"/>
    </row>
    <row r="3352" spans="4:5" x14ac:dyDescent="0.25">
      <c r="D3352" s="2"/>
      <c r="E3352" s="2"/>
    </row>
    <row r="3353" spans="4:5" x14ac:dyDescent="0.25">
      <c r="D3353" s="2"/>
      <c r="E3353" s="2"/>
    </row>
    <row r="3354" spans="4:5" x14ac:dyDescent="0.25">
      <c r="D3354" s="2"/>
      <c r="E3354" s="2"/>
    </row>
    <row r="3355" spans="4:5" x14ac:dyDescent="0.25">
      <c r="D3355" s="2"/>
      <c r="E3355" s="2"/>
    </row>
    <row r="3356" spans="4:5" x14ac:dyDescent="0.25">
      <c r="D3356" s="2"/>
      <c r="E3356" s="2"/>
    </row>
    <row r="3357" spans="4:5" x14ac:dyDescent="0.25">
      <c r="D3357" s="2"/>
      <c r="E3357" s="2"/>
    </row>
    <row r="3358" spans="4:5" x14ac:dyDescent="0.25">
      <c r="D3358" s="2"/>
      <c r="E3358" s="2"/>
    </row>
    <row r="3359" spans="4:5" x14ac:dyDescent="0.25">
      <c r="D3359" s="2"/>
      <c r="E3359" s="2"/>
    </row>
    <row r="3360" spans="4:5" x14ac:dyDescent="0.25">
      <c r="D3360" s="2"/>
      <c r="E3360" s="2"/>
    </row>
    <row r="3361" spans="4:5" x14ac:dyDescent="0.25">
      <c r="D3361" s="2"/>
      <c r="E3361" s="2"/>
    </row>
    <row r="3362" spans="4:5" x14ac:dyDescent="0.25">
      <c r="D3362" s="2"/>
      <c r="E3362" s="2"/>
    </row>
    <row r="3363" spans="4:5" x14ac:dyDescent="0.25">
      <c r="D3363" s="2"/>
      <c r="E3363" s="2"/>
    </row>
    <row r="3364" spans="4:5" x14ac:dyDescent="0.25">
      <c r="D3364" s="2"/>
      <c r="E3364" s="2"/>
    </row>
    <row r="3365" spans="4:5" x14ac:dyDescent="0.25">
      <c r="D3365" s="2"/>
      <c r="E3365" s="2"/>
    </row>
    <row r="3366" spans="4:5" x14ac:dyDescent="0.25">
      <c r="D3366" s="2"/>
      <c r="E3366" s="2"/>
    </row>
    <row r="3367" spans="4:5" x14ac:dyDescent="0.25">
      <c r="D3367" s="2"/>
      <c r="E3367" s="2"/>
    </row>
    <row r="3368" spans="4:5" x14ac:dyDescent="0.25">
      <c r="D3368" s="2"/>
      <c r="E3368" s="2"/>
    </row>
    <row r="3369" spans="4:5" x14ac:dyDescent="0.25">
      <c r="D3369" s="2"/>
      <c r="E3369" s="2"/>
    </row>
    <row r="3370" spans="4:5" x14ac:dyDescent="0.25">
      <c r="D3370" s="2"/>
      <c r="E3370" s="2"/>
    </row>
    <row r="3371" spans="4:5" x14ac:dyDescent="0.25">
      <c r="D3371" s="2"/>
      <c r="E3371" s="2"/>
    </row>
    <row r="3372" spans="4:5" x14ac:dyDescent="0.25">
      <c r="D3372" s="2"/>
      <c r="E3372" s="2"/>
    </row>
    <row r="3373" spans="4:5" x14ac:dyDescent="0.25">
      <c r="D3373" s="2"/>
      <c r="E3373" s="2"/>
    </row>
    <row r="3374" spans="4:5" x14ac:dyDescent="0.25">
      <c r="D3374" s="2"/>
      <c r="E3374" s="2"/>
    </row>
    <row r="3375" spans="4:5" x14ac:dyDescent="0.25">
      <c r="D3375" s="2"/>
      <c r="E3375" s="2"/>
    </row>
    <row r="3376" spans="4:5" x14ac:dyDescent="0.25">
      <c r="D3376" s="2"/>
      <c r="E3376" s="2"/>
    </row>
    <row r="3377" spans="4:5" x14ac:dyDescent="0.25">
      <c r="D3377" s="2"/>
      <c r="E3377" s="2"/>
    </row>
    <row r="3378" spans="4:5" x14ac:dyDescent="0.25">
      <c r="D3378" s="2"/>
      <c r="E3378" s="2"/>
    </row>
    <row r="3379" spans="4:5" x14ac:dyDescent="0.25">
      <c r="D3379" s="2"/>
      <c r="E3379" s="2"/>
    </row>
    <row r="3380" spans="4:5" x14ac:dyDescent="0.25">
      <c r="D3380" s="2"/>
      <c r="E3380" s="2"/>
    </row>
    <row r="3381" spans="4:5" x14ac:dyDescent="0.25">
      <c r="D3381" s="2"/>
      <c r="E3381" s="2"/>
    </row>
    <row r="3382" spans="4:5" x14ac:dyDescent="0.25">
      <c r="D3382" s="2"/>
      <c r="E3382" s="2"/>
    </row>
    <row r="3383" spans="4:5" x14ac:dyDescent="0.25">
      <c r="D3383" s="2"/>
      <c r="E3383" s="2"/>
    </row>
    <row r="3384" spans="4:5" x14ac:dyDescent="0.25">
      <c r="D3384" s="2"/>
      <c r="E3384" s="2"/>
    </row>
    <row r="3385" spans="4:5" x14ac:dyDescent="0.25">
      <c r="D3385" s="2"/>
      <c r="E3385" s="2"/>
    </row>
    <row r="3386" spans="4:5" x14ac:dyDescent="0.25">
      <c r="D3386" s="2"/>
      <c r="E3386" s="2"/>
    </row>
    <row r="3387" spans="4:5" x14ac:dyDescent="0.25">
      <c r="D3387" s="2"/>
      <c r="E3387" s="2"/>
    </row>
    <row r="3388" spans="4:5" x14ac:dyDescent="0.25">
      <c r="D3388" s="2"/>
      <c r="E3388" s="2"/>
    </row>
    <row r="3389" spans="4:5" x14ac:dyDescent="0.25">
      <c r="D3389" s="2"/>
      <c r="E3389" s="2"/>
    </row>
    <row r="3390" spans="4:5" x14ac:dyDescent="0.25">
      <c r="D3390" s="2"/>
      <c r="E3390" s="2"/>
    </row>
    <row r="3391" spans="4:5" x14ac:dyDescent="0.25">
      <c r="D3391" s="2"/>
      <c r="E3391" s="2"/>
    </row>
    <row r="3392" spans="4:5" x14ac:dyDescent="0.25">
      <c r="D3392" s="2"/>
      <c r="E3392" s="2"/>
    </row>
    <row r="3393" spans="4:5" x14ac:dyDescent="0.25">
      <c r="D3393" s="2"/>
      <c r="E3393" s="2"/>
    </row>
    <row r="3394" spans="4:5" x14ac:dyDescent="0.25">
      <c r="D3394" s="2"/>
      <c r="E3394" s="2"/>
    </row>
    <row r="3395" spans="4:5" x14ac:dyDescent="0.25">
      <c r="D3395" s="2"/>
      <c r="E3395" s="2"/>
    </row>
    <row r="3396" spans="4:5" x14ac:dyDescent="0.25">
      <c r="D3396" s="2"/>
      <c r="E3396" s="2"/>
    </row>
    <row r="3397" spans="4:5" x14ac:dyDescent="0.25">
      <c r="D3397" s="2"/>
      <c r="E3397" s="2"/>
    </row>
    <row r="3398" spans="4:5" x14ac:dyDescent="0.25">
      <c r="D3398" s="2"/>
      <c r="E3398" s="2"/>
    </row>
    <row r="3399" spans="4:5" x14ac:dyDescent="0.25">
      <c r="D3399" s="2"/>
      <c r="E3399" s="2"/>
    </row>
    <row r="3400" spans="4:5" x14ac:dyDescent="0.25">
      <c r="D3400" s="2"/>
      <c r="E3400" s="2"/>
    </row>
    <row r="3401" spans="4:5" x14ac:dyDescent="0.25">
      <c r="D3401" s="2"/>
      <c r="E3401" s="2"/>
    </row>
    <row r="3402" spans="4:5" x14ac:dyDescent="0.25">
      <c r="D3402" s="2"/>
      <c r="E3402" s="2"/>
    </row>
    <row r="3403" spans="4:5" x14ac:dyDescent="0.25">
      <c r="D3403" s="2"/>
      <c r="E3403" s="2"/>
    </row>
    <row r="3404" spans="4:5" x14ac:dyDescent="0.25">
      <c r="D3404" s="2"/>
      <c r="E3404" s="2"/>
    </row>
    <row r="3405" spans="4:5" x14ac:dyDescent="0.25">
      <c r="D3405" s="2"/>
      <c r="E3405" s="2"/>
    </row>
    <row r="3406" spans="4:5" x14ac:dyDescent="0.25">
      <c r="D3406" s="2"/>
      <c r="E3406" s="2"/>
    </row>
    <row r="3407" spans="4:5" x14ac:dyDescent="0.25">
      <c r="D3407" s="2"/>
      <c r="E3407" s="2"/>
    </row>
    <row r="3408" spans="4:5" x14ac:dyDescent="0.25">
      <c r="D3408" s="2"/>
      <c r="E3408" s="2"/>
    </row>
    <row r="3409" spans="4:5" x14ac:dyDescent="0.25">
      <c r="D3409" s="2"/>
      <c r="E3409" s="2"/>
    </row>
    <row r="3410" spans="4:5" x14ac:dyDescent="0.25">
      <c r="D3410" s="2"/>
      <c r="E3410" s="2"/>
    </row>
    <row r="3411" spans="4:5" x14ac:dyDescent="0.25">
      <c r="D3411" s="2"/>
      <c r="E3411" s="2"/>
    </row>
    <row r="3412" spans="4:5" x14ac:dyDescent="0.25">
      <c r="D3412" s="2"/>
      <c r="E3412" s="2"/>
    </row>
    <row r="3413" spans="4:5" x14ac:dyDescent="0.25">
      <c r="D3413" s="2"/>
      <c r="E3413" s="2"/>
    </row>
    <row r="3414" spans="4:5" x14ac:dyDescent="0.25">
      <c r="D3414" s="2"/>
      <c r="E3414" s="2"/>
    </row>
    <row r="3415" spans="4:5" x14ac:dyDescent="0.25">
      <c r="D3415" s="2"/>
      <c r="E3415" s="2"/>
    </row>
    <row r="3416" spans="4:5" x14ac:dyDescent="0.25">
      <c r="D3416" s="2"/>
      <c r="E3416" s="2"/>
    </row>
    <row r="3417" spans="4:5" x14ac:dyDescent="0.25">
      <c r="D3417" s="2"/>
      <c r="E3417" s="2"/>
    </row>
    <row r="3418" spans="4:5" x14ac:dyDescent="0.25">
      <c r="D3418" s="2"/>
      <c r="E3418" s="2"/>
    </row>
    <row r="3419" spans="4:5" x14ac:dyDescent="0.25">
      <c r="D3419" s="2"/>
      <c r="E3419" s="2"/>
    </row>
    <row r="3420" spans="4:5" x14ac:dyDescent="0.25">
      <c r="D3420" s="2"/>
      <c r="E3420" s="2"/>
    </row>
    <row r="3421" spans="4:5" x14ac:dyDescent="0.25">
      <c r="D3421" s="2"/>
      <c r="E3421" s="2"/>
    </row>
    <row r="3422" spans="4:5" x14ac:dyDescent="0.25">
      <c r="D3422" s="2"/>
      <c r="E3422" s="2"/>
    </row>
    <row r="3423" spans="4:5" x14ac:dyDescent="0.25">
      <c r="D3423" s="2"/>
      <c r="E3423" s="2"/>
    </row>
    <row r="3424" spans="4:5" x14ac:dyDescent="0.25">
      <c r="D3424" s="2"/>
      <c r="E3424" s="2"/>
    </row>
    <row r="3425" spans="4:5" x14ac:dyDescent="0.25">
      <c r="D3425" s="2"/>
      <c r="E3425" s="2"/>
    </row>
    <row r="3426" spans="4:5" x14ac:dyDescent="0.25">
      <c r="D3426" s="2"/>
      <c r="E3426" s="2"/>
    </row>
    <row r="3427" spans="4:5" x14ac:dyDescent="0.25">
      <c r="D3427" s="2"/>
      <c r="E3427" s="2"/>
    </row>
    <row r="3428" spans="4:5" x14ac:dyDescent="0.25">
      <c r="D3428" s="2"/>
      <c r="E3428" s="2"/>
    </row>
    <row r="3429" spans="4:5" x14ac:dyDescent="0.25">
      <c r="D3429" s="2"/>
      <c r="E3429" s="2"/>
    </row>
    <row r="3430" spans="4:5" x14ac:dyDescent="0.25">
      <c r="D3430" s="2"/>
      <c r="E3430" s="2"/>
    </row>
    <row r="3431" spans="4:5" x14ac:dyDescent="0.25">
      <c r="D3431" s="2"/>
      <c r="E3431" s="2"/>
    </row>
    <row r="3432" spans="4:5" x14ac:dyDescent="0.25">
      <c r="D3432" s="2"/>
      <c r="E3432" s="2"/>
    </row>
    <row r="3433" spans="4:5" x14ac:dyDescent="0.25">
      <c r="D3433" s="2"/>
      <c r="E3433" s="2"/>
    </row>
    <row r="3434" spans="4:5" x14ac:dyDescent="0.25">
      <c r="D3434" s="2"/>
      <c r="E3434" s="2"/>
    </row>
    <row r="3435" spans="4:5" x14ac:dyDescent="0.25">
      <c r="D3435" s="2"/>
      <c r="E3435" s="2"/>
    </row>
    <row r="3436" spans="4:5" x14ac:dyDescent="0.25">
      <c r="D3436" s="2"/>
      <c r="E3436" s="2"/>
    </row>
    <row r="3437" spans="4:5" x14ac:dyDescent="0.25">
      <c r="D3437" s="2"/>
      <c r="E3437" s="2"/>
    </row>
    <row r="3438" spans="4:5" x14ac:dyDescent="0.25">
      <c r="D3438" s="2"/>
      <c r="E3438" s="2"/>
    </row>
    <row r="3439" spans="4:5" x14ac:dyDescent="0.25">
      <c r="D3439" s="2"/>
      <c r="E3439" s="2"/>
    </row>
    <row r="3440" spans="4:5" x14ac:dyDescent="0.25">
      <c r="D3440" s="2"/>
      <c r="E3440" s="2"/>
    </row>
    <row r="3441" spans="4:5" x14ac:dyDescent="0.25">
      <c r="D3441" s="2"/>
      <c r="E3441" s="2"/>
    </row>
    <row r="3442" spans="4:5" x14ac:dyDescent="0.25">
      <c r="D3442" s="2"/>
      <c r="E3442" s="2"/>
    </row>
    <row r="3443" spans="4:5" x14ac:dyDescent="0.25">
      <c r="D3443" s="2"/>
      <c r="E3443" s="2"/>
    </row>
    <row r="3444" spans="4:5" x14ac:dyDescent="0.25">
      <c r="D3444" s="2"/>
      <c r="E3444" s="2"/>
    </row>
    <row r="3445" spans="4:5" x14ac:dyDescent="0.25">
      <c r="D3445" s="2"/>
      <c r="E3445" s="2"/>
    </row>
    <row r="3446" spans="4:5" x14ac:dyDescent="0.25">
      <c r="D3446" s="2"/>
      <c r="E3446" s="2"/>
    </row>
    <row r="3447" spans="4:5" x14ac:dyDescent="0.25">
      <c r="D3447" s="2"/>
      <c r="E3447" s="2"/>
    </row>
    <row r="3448" spans="4:5" x14ac:dyDescent="0.25">
      <c r="D3448" s="2"/>
      <c r="E3448" s="2"/>
    </row>
    <row r="3449" spans="4:5" x14ac:dyDescent="0.25">
      <c r="D3449" s="2"/>
      <c r="E3449" s="2"/>
    </row>
    <row r="3450" spans="4:5" x14ac:dyDescent="0.25">
      <c r="D3450" s="2"/>
      <c r="E3450" s="2"/>
    </row>
    <row r="3451" spans="4:5" x14ac:dyDescent="0.25">
      <c r="D3451" s="2"/>
      <c r="E3451" s="2"/>
    </row>
    <row r="3452" spans="4:5" x14ac:dyDescent="0.25">
      <c r="D3452" s="2"/>
      <c r="E3452" s="2"/>
    </row>
    <row r="3453" spans="4:5" x14ac:dyDescent="0.25">
      <c r="D3453" s="2"/>
      <c r="E3453" s="2"/>
    </row>
    <row r="3454" spans="4:5" x14ac:dyDescent="0.25">
      <c r="D3454" s="2"/>
      <c r="E3454" s="2"/>
    </row>
    <row r="3455" spans="4:5" x14ac:dyDescent="0.25">
      <c r="D3455" s="2"/>
      <c r="E3455" s="2"/>
    </row>
    <row r="3456" spans="4:5" x14ac:dyDescent="0.25">
      <c r="D3456" s="2"/>
      <c r="E3456" s="2"/>
    </row>
    <row r="3457" spans="4:5" x14ac:dyDescent="0.25">
      <c r="D3457" s="2"/>
      <c r="E3457" s="2"/>
    </row>
    <row r="3458" spans="4:5" x14ac:dyDescent="0.25">
      <c r="D3458" s="2"/>
      <c r="E3458" s="2"/>
    </row>
    <row r="3459" spans="4:5" x14ac:dyDescent="0.25">
      <c r="D3459" s="2"/>
      <c r="E3459" s="2"/>
    </row>
    <row r="3460" spans="4:5" x14ac:dyDescent="0.25">
      <c r="D3460" s="2"/>
      <c r="E3460" s="2"/>
    </row>
    <row r="3461" spans="4:5" x14ac:dyDescent="0.25">
      <c r="D3461" s="2"/>
      <c r="E3461" s="2"/>
    </row>
    <row r="3462" spans="4:5" x14ac:dyDescent="0.25">
      <c r="D3462" s="2"/>
      <c r="E3462" s="2"/>
    </row>
    <row r="3463" spans="4:5" x14ac:dyDescent="0.25">
      <c r="D3463" s="2"/>
      <c r="E3463" s="2"/>
    </row>
    <row r="3464" spans="4:5" x14ac:dyDescent="0.25">
      <c r="D3464" s="2"/>
      <c r="E3464" s="2"/>
    </row>
    <row r="3465" spans="4:5" x14ac:dyDescent="0.25">
      <c r="D3465" s="2"/>
      <c r="E3465" s="2"/>
    </row>
    <row r="3466" spans="4:5" x14ac:dyDescent="0.25">
      <c r="D3466" s="2"/>
      <c r="E3466" s="2"/>
    </row>
    <row r="3467" spans="4:5" x14ac:dyDescent="0.25">
      <c r="D3467" s="2"/>
      <c r="E3467" s="2"/>
    </row>
    <row r="3468" spans="4:5" x14ac:dyDescent="0.25">
      <c r="D3468" s="2"/>
      <c r="E3468" s="2"/>
    </row>
    <row r="3469" spans="4:5" x14ac:dyDescent="0.25">
      <c r="D3469" s="2"/>
      <c r="E3469" s="2"/>
    </row>
    <row r="3470" spans="4:5" x14ac:dyDescent="0.25">
      <c r="D3470" s="2"/>
      <c r="E3470" s="2"/>
    </row>
    <row r="3471" spans="4:5" x14ac:dyDescent="0.25">
      <c r="D3471" s="2"/>
      <c r="E3471" s="2"/>
    </row>
    <row r="3472" spans="4:5" x14ac:dyDescent="0.25">
      <c r="D3472" s="2"/>
      <c r="E3472" s="2"/>
    </row>
    <row r="3473" spans="4:5" x14ac:dyDescent="0.25">
      <c r="D3473" s="2"/>
      <c r="E3473" s="2"/>
    </row>
    <row r="3474" spans="4:5" x14ac:dyDescent="0.25">
      <c r="D3474" s="2"/>
      <c r="E3474" s="2"/>
    </row>
    <row r="3475" spans="4:5" x14ac:dyDescent="0.25">
      <c r="D3475" s="2"/>
      <c r="E3475" s="2"/>
    </row>
    <row r="3476" spans="4:5" x14ac:dyDescent="0.25">
      <c r="D3476" s="2"/>
      <c r="E3476" s="2"/>
    </row>
    <row r="3477" spans="4:5" x14ac:dyDescent="0.25">
      <c r="D3477" s="2"/>
      <c r="E3477" s="2"/>
    </row>
    <row r="3478" spans="4:5" x14ac:dyDescent="0.25">
      <c r="D3478" s="2"/>
      <c r="E3478" s="2"/>
    </row>
    <row r="3479" spans="4:5" x14ac:dyDescent="0.25">
      <c r="D3479" s="2"/>
      <c r="E3479" s="2"/>
    </row>
    <row r="3480" spans="4:5" x14ac:dyDescent="0.25">
      <c r="D3480" s="2"/>
      <c r="E3480" s="2"/>
    </row>
    <row r="3481" spans="4:5" x14ac:dyDescent="0.25">
      <c r="D3481" s="2"/>
      <c r="E3481" s="2"/>
    </row>
    <row r="3482" spans="4:5" x14ac:dyDescent="0.25">
      <c r="D3482" s="2"/>
      <c r="E3482" s="2"/>
    </row>
    <row r="3483" spans="4:5" x14ac:dyDescent="0.25">
      <c r="D3483" s="2"/>
      <c r="E3483" s="2"/>
    </row>
    <row r="3484" spans="4:5" x14ac:dyDescent="0.25">
      <c r="D3484" s="2"/>
      <c r="E3484" s="2"/>
    </row>
    <row r="3485" spans="4:5" x14ac:dyDescent="0.25">
      <c r="D3485" s="2"/>
      <c r="E3485" s="2"/>
    </row>
    <row r="3486" spans="4:5" x14ac:dyDescent="0.25">
      <c r="D3486" s="2"/>
      <c r="E3486" s="2"/>
    </row>
    <row r="3487" spans="4:5" x14ac:dyDescent="0.25">
      <c r="D3487" s="2"/>
      <c r="E3487" s="2"/>
    </row>
    <row r="3488" spans="4:5" x14ac:dyDescent="0.25">
      <c r="D3488" s="2"/>
      <c r="E3488" s="2"/>
    </row>
    <row r="3489" spans="4:5" x14ac:dyDescent="0.25">
      <c r="D3489" s="2"/>
      <c r="E3489" s="2"/>
    </row>
    <row r="3490" spans="4:5" x14ac:dyDescent="0.25">
      <c r="D3490" s="2"/>
      <c r="E3490" s="2"/>
    </row>
    <row r="3491" spans="4:5" x14ac:dyDescent="0.25">
      <c r="D3491" s="2"/>
      <c r="E3491" s="2"/>
    </row>
    <row r="3492" spans="4:5" x14ac:dyDescent="0.25">
      <c r="D3492" s="2"/>
      <c r="E3492" s="2"/>
    </row>
    <row r="3493" spans="4:5" x14ac:dyDescent="0.25">
      <c r="D3493" s="2"/>
      <c r="E3493" s="2"/>
    </row>
    <row r="3494" spans="4:5" x14ac:dyDescent="0.25">
      <c r="D3494" s="2"/>
      <c r="E3494" s="2"/>
    </row>
    <row r="3495" spans="4:5" x14ac:dyDescent="0.25">
      <c r="D3495" s="2"/>
      <c r="E3495" s="2"/>
    </row>
    <row r="3496" spans="4:5" x14ac:dyDescent="0.25">
      <c r="D3496" s="2"/>
      <c r="E3496" s="2"/>
    </row>
    <row r="3497" spans="4:5" x14ac:dyDescent="0.25">
      <c r="D3497" s="2"/>
      <c r="E3497" s="2"/>
    </row>
    <row r="3498" spans="4:5" x14ac:dyDescent="0.25">
      <c r="D3498" s="2"/>
      <c r="E3498" s="2"/>
    </row>
    <row r="3499" spans="4:5" x14ac:dyDescent="0.25">
      <c r="D3499" s="2"/>
      <c r="E3499" s="2"/>
    </row>
    <row r="3500" spans="4:5" x14ac:dyDescent="0.25">
      <c r="D3500" s="2"/>
      <c r="E3500" s="2"/>
    </row>
    <row r="3501" spans="4:5" x14ac:dyDescent="0.25">
      <c r="D3501" s="2"/>
      <c r="E3501" s="2"/>
    </row>
    <row r="3502" spans="4:5" x14ac:dyDescent="0.25">
      <c r="D3502" s="2"/>
      <c r="E3502" s="2"/>
    </row>
    <row r="3503" spans="4:5" x14ac:dyDescent="0.25">
      <c r="D3503" s="2"/>
      <c r="E3503" s="2"/>
    </row>
    <row r="3504" spans="4:5" x14ac:dyDescent="0.25">
      <c r="D3504" s="2"/>
      <c r="E3504" s="2"/>
    </row>
    <row r="3505" spans="4:5" x14ac:dyDescent="0.25">
      <c r="D3505" s="2"/>
      <c r="E3505" s="2"/>
    </row>
    <row r="3506" spans="4:5" x14ac:dyDescent="0.25">
      <c r="D3506" s="2"/>
      <c r="E3506" s="2"/>
    </row>
    <row r="3507" spans="4:5" x14ac:dyDescent="0.25">
      <c r="D3507" s="2"/>
      <c r="E3507" s="2"/>
    </row>
    <row r="3508" spans="4:5" x14ac:dyDescent="0.25">
      <c r="D3508" s="2"/>
      <c r="E3508" s="2"/>
    </row>
    <row r="3509" spans="4:5" x14ac:dyDescent="0.25">
      <c r="D3509" s="2"/>
      <c r="E3509" s="2"/>
    </row>
    <row r="3510" spans="4:5" x14ac:dyDescent="0.25">
      <c r="D3510" s="2"/>
      <c r="E3510" s="2"/>
    </row>
    <row r="3511" spans="4:5" x14ac:dyDescent="0.25">
      <c r="D3511" s="2"/>
      <c r="E3511" s="2"/>
    </row>
    <row r="3512" spans="4:5" x14ac:dyDescent="0.25">
      <c r="D3512" s="2"/>
      <c r="E3512" s="2"/>
    </row>
    <row r="3513" spans="4:5" x14ac:dyDescent="0.25">
      <c r="D3513" s="2"/>
      <c r="E3513" s="2"/>
    </row>
    <row r="3514" spans="4:5" x14ac:dyDescent="0.25">
      <c r="D3514" s="2"/>
      <c r="E3514" s="2"/>
    </row>
    <row r="3515" spans="4:5" x14ac:dyDescent="0.25">
      <c r="D3515" s="2"/>
      <c r="E3515" s="2"/>
    </row>
    <row r="3516" spans="4:5" x14ac:dyDescent="0.25">
      <c r="D3516" s="2"/>
      <c r="E3516" s="2"/>
    </row>
    <row r="3517" spans="4:5" x14ac:dyDescent="0.25">
      <c r="D3517" s="2"/>
      <c r="E3517" s="2"/>
    </row>
    <row r="3518" spans="4:5" x14ac:dyDescent="0.25">
      <c r="D3518" s="2"/>
      <c r="E3518" s="2"/>
    </row>
    <row r="3519" spans="4:5" x14ac:dyDescent="0.25">
      <c r="D3519" s="2"/>
      <c r="E3519" s="2"/>
    </row>
    <row r="3520" spans="4:5" x14ac:dyDescent="0.25">
      <c r="D3520" s="2"/>
      <c r="E3520" s="2"/>
    </row>
    <row r="3521" spans="4:5" x14ac:dyDescent="0.25">
      <c r="D3521" s="2"/>
      <c r="E3521" s="2"/>
    </row>
    <row r="3522" spans="4:5" x14ac:dyDescent="0.25">
      <c r="D3522" s="2"/>
      <c r="E3522" s="2"/>
    </row>
    <row r="3523" spans="4:5" x14ac:dyDescent="0.25">
      <c r="D3523" s="2"/>
      <c r="E3523" s="2"/>
    </row>
    <row r="3524" spans="4:5" x14ac:dyDescent="0.25">
      <c r="D3524" s="2"/>
      <c r="E3524" s="2"/>
    </row>
    <row r="3525" spans="4:5" x14ac:dyDescent="0.25">
      <c r="D3525" s="2"/>
      <c r="E3525" s="2"/>
    </row>
    <row r="3526" spans="4:5" x14ac:dyDescent="0.25">
      <c r="D3526" s="2"/>
      <c r="E3526" s="2"/>
    </row>
    <row r="3527" spans="4:5" x14ac:dyDescent="0.25">
      <c r="D3527" s="2"/>
      <c r="E3527" s="2"/>
    </row>
    <row r="3528" spans="4:5" x14ac:dyDescent="0.25">
      <c r="D3528" s="2"/>
      <c r="E3528" s="2"/>
    </row>
    <row r="3529" spans="4:5" x14ac:dyDescent="0.25">
      <c r="D3529" s="2"/>
      <c r="E3529" s="2"/>
    </row>
    <row r="3530" spans="4:5" x14ac:dyDescent="0.25">
      <c r="D3530" s="2"/>
      <c r="E3530" s="2"/>
    </row>
    <row r="3531" spans="4:5" x14ac:dyDescent="0.25">
      <c r="D3531" s="2"/>
      <c r="E3531" s="2"/>
    </row>
    <row r="3532" spans="4:5" x14ac:dyDescent="0.25">
      <c r="D3532" s="2"/>
      <c r="E3532" s="2"/>
    </row>
    <row r="3533" spans="4:5" x14ac:dyDescent="0.25">
      <c r="D3533" s="2"/>
      <c r="E3533" s="2"/>
    </row>
    <row r="3534" spans="4:5" x14ac:dyDescent="0.25">
      <c r="D3534" s="2"/>
      <c r="E3534" s="2"/>
    </row>
    <row r="3535" spans="4:5" x14ac:dyDescent="0.25">
      <c r="D3535" s="2"/>
      <c r="E3535" s="2"/>
    </row>
    <row r="3536" spans="4:5" x14ac:dyDescent="0.25">
      <c r="D3536" s="2"/>
      <c r="E3536" s="2"/>
    </row>
    <row r="3537" spans="4:5" x14ac:dyDescent="0.25">
      <c r="D3537" s="2"/>
      <c r="E3537" s="2"/>
    </row>
    <row r="3538" spans="4:5" x14ac:dyDescent="0.25">
      <c r="D3538" s="2"/>
      <c r="E3538" s="2"/>
    </row>
    <row r="3539" spans="4:5" x14ac:dyDescent="0.25">
      <c r="D3539" s="2"/>
      <c r="E3539" s="2"/>
    </row>
    <row r="3540" spans="4:5" x14ac:dyDescent="0.25">
      <c r="D3540" s="2"/>
      <c r="E3540" s="2"/>
    </row>
    <row r="3541" spans="4:5" x14ac:dyDescent="0.25">
      <c r="D3541" s="2"/>
      <c r="E3541" s="2"/>
    </row>
    <row r="3542" spans="4:5" x14ac:dyDescent="0.25">
      <c r="D3542" s="2"/>
      <c r="E3542" s="2"/>
    </row>
    <row r="3543" spans="4:5" x14ac:dyDescent="0.25">
      <c r="D3543" s="2"/>
      <c r="E3543" s="2"/>
    </row>
    <row r="3544" spans="4:5" x14ac:dyDescent="0.25">
      <c r="D3544" s="2"/>
      <c r="E3544" s="2"/>
    </row>
    <row r="3545" spans="4:5" x14ac:dyDescent="0.25">
      <c r="D3545" s="2"/>
      <c r="E3545" s="2"/>
    </row>
    <row r="3546" spans="4:5" x14ac:dyDescent="0.25">
      <c r="D3546" s="2"/>
      <c r="E3546" s="2"/>
    </row>
    <row r="3547" spans="4:5" x14ac:dyDescent="0.25">
      <c r="D3547" s="2"/>
      <c r="E3547" s="2"/>
    </row>
    <row r="3548" spans="4:5" x14ac:dyDescent="0.25">
      <c r="D3548" s="2"/>
      <c r="E3548" s="2"/>
    </row>
    <row r="3549" spans="4:5" x14ac:dyDescent="0.25">
      <c r="D3549" s="2"/>
      <c r="E3549" s="2"/>
    </row>
    <row r="3550" spans="4:5" x14ac:dyDescent="0.25">
      <c r="D3550" s="2"/>
      <c r="E3550" s="2"/>
    </row>
    <row r="3551" spans="4:5" x14ac:dyDescent="0.25">
      <c r="D3551" s="2"/>
      <c r="E3551" s="2"/>
    </row>
    <row r="3552" spans="4:5" x14ac:dyDescent="0.25">
      <c r="D3552" s="2"/>
      <c r="E3552" s="2"/>
    </row>
    <row r="3553" spans="4:5" x14ac:dyDescent="0.25">
      <c r="D3553" s="2"/>
      <c r="E3553" s="2"/>
    </row>
    <row r="3554" spans="4:5" x14ac:dyDescent="0.25">
      <c r="D3554" s="2"/>
      <c r="E3554" s="2"/>
    </row>
    <row r="3555" spans="4:5" x14ac:dyDescent="0.25">
      <c r="D3555" s="2"/>
      <c r="E3555" s="2"/>
    </row>
    <row r="3556" spans="4:5" x14ac:dyDescent="0.25">
      <c r="D3556" s="2"/>
      <c r="E3556" s="2"/>
    </row>
    <row r="3557" spans="4:5" x14ac:dyDescent="0.25">
      <c r="D3557" s="2"/>
      <c r="E3557" s="2"/>
    </row>
    <row r="3558" spans="4:5" x14ac:dyDescent="0.25">
      <c r="D3558" s="2"/>
      <c r="E3558" s="2"/>
    </row>
    <row r="3559" spans="4:5" x14ac:dyDescent="0.25">
      <c r="D3559" s="2"/>
      <c r="E3559" s="2"/>
    </row>
    <row r="3560" spans="4:5" x14ac:dyDescent="0.25">
      <c r="D3560" s="2"/>
      <c r="E3560" s="2"/>
    </row>
    <row r="3561" spans="4:5" x14ac:dyDescent="0.25">
      <c r="D3561" s="2"/>
      <c r="E3561" s="2"/>
    </row>
    <row r="3562" spans="4:5" x14ac:dyDescent="0.25">
      <c r="D3562" s="2"/>
      <c r="E3562" s="2"/>
    </row>
    <row r="3563" spans="4:5" x14ac:dyDescent="0.25">
      <c r="D3563" s="2"/>
      <c r="E3563" s="2"/>
    </row>
    <row r="3564" spans="4:5" x14ac:dyDescent="0.25">
      <c r="D3564" s="2"/>
      <c r="E3564" s="2"/>
    </row>
    <row r="3565" spans="4:5" x14ac:dyDescent="0.25">
      <c r="D3565" s="2"/>
      <c r="E3565" s="2"/>
    </row>
    <row r="3566" spans="4:5" x14ac:dyDescent="0.25">
      <c r="D3566" s="2"/>
      <c r="E3566" s="2"/>
    </row>
    <row r="3567" spans="4:5" x14ac:dyDescent="0.25">
      <c r="D3567" s="2"/>
      <c r="E3567" s="2"/>
    </row>
    <row r="3568" spans="4:5" x14ac:dyDescent="0.25">
      <c r="D3568" s="2"/>
      <c r="E3568" s="2"/>
    </row>
    <row r="3569" spans="4:5" x14ac:dyDescent="0.25">
      <c r="D3569" s="2"/>
      <c r="E3569" s="2"/>
    </row>
    <row r="3570" spans="4:5" x14ac:dyDescent="0.25">
      <c r="D3570" s="2"/>
      <c r="E3570" s="2"/>
    </row>
    <row r="3571" spans="4:5" x14ac:dyDescent="0.25">
      <c r="D3571" s="2"/>
      <c r="E3571" s="2"/>
    </row>
    <row r="3572" spans="4:5" x14ac:dyDescent="0.25">
      <c r="D3572" s="2"/>
      <c r="E3572" s="2"/>
    </row>
    <row r="3573" spans="4:5" x14ac:dyDescent="0.25">
      <c r="D3573" s="2"/>
      <c r="E3573" s="2"/>
    </row>
    <row r="3574" spans="4:5" x14ac:dyDescent="0.25">
      <c r="D3574" s="2"/>
      <c r="E3574" s="2"/>
    </row>
    <row r="3575" spans="4:5" x14ac:dyDescent="0.25">
      <c r="D3575" s="2"/>
      <c r="E3575" s="2"/>
    </row>
    <row r="3576" spans="4:5" x14ac:dyDescent="0.25">
      <c r="D3576" s="2"/>
      <c r="E3576" s="2"/>
    </row>
    <row r="3577" spans="4:5" x14ac:dyDescent="0.25">
      <c r="D3577" s="2"/>
      <c r="E3577" s="2"/>
    </row>
    <row r="3578" spans="4:5" x14ac:dyDescent="0.25">
      <c r="D3578" s="2"/>
      <c r="E3578" s="2"/>
    </row>
    <row r="3579" spans="4:5" x14ac:dyDescent="0.25">
      <c r="D3579" s="2"/>
      <c r="E3579" s="2"/>
    </row>
    <row r="3580" spans="4:5" x14ac:dyDescent="0.25">
      <c r="D3580" s="2"/>
      <c r="E3580" s="2"/>
    </row>
    <row r="3581" spans="4:5" x14ac:dyDescent="0.25">
      <c r="D3581" s="2"/>
      <c r="E3581" s="2"/>
    </row>
    <row r="3582" spans="4:5" x14ac:dyDescent="0.25">
      <c r="D3582" s="2"/>
      <c r="E3582" s="2"/>
    </row>
    <row r="3583" spans="4:5" x14ac:dyDescent="0.25">
      <c r="D3583" s="2"/>
      <c r="E3583" s="2"/>
    </row>
    <row r="3584" spans="4:5" x14ac:dyDescent="0.25">
      <c r="D3584" s="2"/>
      <c r="E3584" s="2"/>
    </row>
    <row r="3585" spans="4:5" x14ac:dyDescent="0.25">
      <c r="D3585" s="2"/>
      <c r="E3585" s="2"/>
    </row>
    <row r="3586" spans="4:5" x14ac:dyDescent="0.25">
      <c r="D3586" s="2"/>
      <c r="E3586" s="2"/>
    </row>
    <row r="3587" spans="4:5" x14ac:dyDescent="0.25">
      <c r="D3587" s="2"/>
      <c r="E3587" s="2"/>
    </row>
    <row r="3588" spans="4:5" x14ac:dyDescent="0.25">
      <c r="D3588" s="2"/>
      <c r="E3588" s="2"/>
    </row>
    <row r="3589" spans="4:5" x14ac:dyDescent="0.25">
      <c r="D3589" s="2"/>
      <c r="E3589" s="2"/>
    </row>
    <row r="3590" spans="4:5" x14ac:dyDescent="0.25">
      <c r="D3590" s="2"/>
      <c r="E3590" s="2"/>
    </row>
    <row r="3591" spans="4:5" x14ac:dyDescent="0.25">
      <c r="D3591" s="2"/>
      <c r="E3591" s="2"/>
    </row>
    <row r="3592" spans="4:5" x14ac:dyDescent="0.25">
      <c r="D3592" s="2"/>
      <c r="E3592" s="2"/>
    </row>
    <row r="3593" spans="4:5" x14ac:dyDescent="0.25">
      <c r="D3593" s="2"/>
      <c r="E3593" s="2"/>
    </row>
    <row r="3594" spans="4:5" x14ac:dyDescent="0.25">
      <c r="D3594" s="2"/>
      <c r="E3594" s="2"/>
    </row>
    <row r="3595" spans="4:5" x14ac:dyDescent="0.25">
      <c r="D3595" s="2"/>
      <c r="E3595" s="2"/>
    </row>
    <row r="3596" spans="4:5" x14ac:dyDescent="0.25">
      <c r="D3596" s="2"/>
      <c r="E3596" s="2"/>
    </row>
    <row r="3597" spans="4:5" x14ac:dyDescent="0.25">
      <c r="D3597" s="2"/>
      <c r="E3597" s="2"/>
    </row>
    <row r="3598" spans="4:5" x14ac:dyDescent="0.25">
      <c r="D3598" s="2"/>
      <c r="E3598" s="2"/>
    </row>
    <row r="3599" spans="4:5" x14ac:dyDescent="0.25">
      <c r="D3599" s="2"/>
      <c r="E3599" s="2"/>
    </row>
    <row r="3600" spans="4:5" x14ac:dyDescent="0.25">
      <c r="D3600" s="2"/>
      <c r="E3600" s="2"/>
    </row>
    <row r="3601" spans="4:5" x14ac:dyDescent="0.25">
      <c r="D3601" s="2"/>
      <c r="E3601" s="2"/>
    </row>
    <row r="3602" spans="4:5" x14ac:dyDescent="0.25">
      <c r="D3602" s="2"/>
      <c r="E3602" s="2"/>
    </row>
    <row r="3603" spans="4:5" x14ac:dyDescent="0.25">
      <c r="D3603" s="2"/>
      <c r="E3603" s="2"/>
    </row>
    <row r="3604" spans="4:5" x14ac:dyDescent="0.25">
      <c r="D3604" s="2"/>
      <c r="E3604" s="2"/>
    </row>
    <row r="3605" spans="4:5" x14ac:dyDescent="0.25">
      <c r="D3605" s="2"/>
      <c r="E3605" s="2"/>
    </row>
    <row r="3606" spans="4:5" x14ac:dyDescent="0.25">
      <c r="D3606" s="2"/>
      <c r="E3606" s="2"/>
    </row>
    <row r="3607" spans="4:5" x14ac:dyDescent="0.25">
      <c r="D3607" s="2"/>
      <c r="E3607" s="2"/>
    </row>
    <row r="3608" spans="4:5" x14ac:dyDescent="0.25">
      <c r="D3608" s="2"/>
      <c r="E3608" s="2"/>
    </row>
    <row r="3609" spans="4:5" x14ac:dyDescent="0.25">
      <c r="D3609" s="2"/>
      <c r="E3609" s="2"/>
    </row>
    <row r="3610" spans="4:5" x14ac:dyDescent="0.25">
      <c r="D3610" s="2"/>
      <c r="E3610" s="2"/>
    </row>
    <row r="3611" spans="4:5" x14ac:dyDescent="0.25">
      <c r="D3611" s="2"/>
      <c r="E3611" s="2"/>
    </row>
    <row r="3612" spans="4:5" x14ac:dyDescent="0.25">
      <c r="D3612" s="2"/>
      <c r="E3612" s="2"/>
    </row>
    <row r="3613" spans="4:5" x14ac:dyDescent="0.25">
      <c r="D3613" s="2"/>
      <c r="E3613" s="2"/>
    </row>
    <row r="3614" spans="4:5" x14ac:dyDescent="0.25">
      <c r="D3614" s="2"/>
      <c r="E3614" s="2"/>
    </row>
    <row r="3615" spans="4:5" x14ac:dyDescent="0.25">
      <c r="D3615" s="2"/>
      <c r="E3615" s="2"/>
    </row>
    <row r="3616" spans="4:5" x14ac:dyDescent="0.25">
      <c r="D3616" s="2"/>
      <c r="E3616" s="2"/>
    </row>
    <row r="3617" spans="4:5" x14ac:dyDescent="0.25">
      <c r="D3617" s="2"/>
      <c r="E3617" s="2"/>
    </row>
    <row r="3618" spans="4:5" x14ac:dyDescent="0.25">
      <c r="D3618" s="2"/>
      <c r="E3618" s="2"/>
    </row>
    <row r="3619" spans="4:5" x14ac:dyDescent="0.25">
      <c r="D3619" s="2"/>
      <c r="E3619" s="2"/>
    </row>
    <row r="3620" spans="4:5" x14ac:dyDescent="0.25">
      <c r="D3620" s="2"/>
      <c r="E3620" s="2"/>
    </row>
    <row r="3621" spans="4:5" x14ac:dyDescent="0.25">
      <c r="D3621" s="2"/>
      <c r="E3621" s="2"/>
    </row>
    <row r="3622" spans="4:5" x14ac:dyDescent="0.25">
      <c r="D3622" s="2"/>
      <c r="E3622" s="2"/>
    </row>
    <row r="3623" spans="4:5" x14ac:dyDescent="0.25">
      <c r="D3623" s="2"/>
      <c r="E3623" s="2"/>
    </row>
    <row r="3624" spans="4:5" x14ac:dyDescent="0.25">
      <c r="D3624" s="2"/>
      <c r="E3624" s="2"/>
    </row>
    <row r="3625" spans="4:5" x14ac:dyDescent="0.25">
      <c r="D3625" s="2"/>
      <c r="E3625" s="2"/>
    </row>
    <row r="3626" spans="4:5" x14ac:dyDescent="0.25">
      <c r="D3626" s="2"/>
      <c r="E3626" s="2"/>
    </row>
    <row r="3627" spans="4:5" x14ac:dyDescent="0.25">
      <c r="D3627" s="2"/>
      <c r="E3627" s="2"/>
    </row>
    <row r="3628" spans="4:5" x14ac:dyDescent="0.25">
      <c r="D3628" s="2"/>
      <c r="E3628" s="2"/>
    </row>
    <row r="3629" spans="4:5" x14ac:dyDescent="0.25">
      <c r="D3629" s="2"/>
      <c r="E3629" s="2"/>
    </row>
    <row r="3630" spans="4:5" x14ac:dyDescent="0.25">
      <c r="D3630" s="2"/>
      <c r="E3630" s="2"/>
    </row>
    <row r="3631" spans="4:5" x14ac:dyDescent="0.25">
      <c r="D3631" s="2"/>
      <c r="E3631" s="2"/>
    </row>
    <row r="3632" spans="4:5" x14ac:dyDescent="0.25">
      <c r="D3632" s="2"/>
      <c r="E3632" s="2"/>
    </row>
    <row r="3633" spans="4:5" x14ac:dyDescent="0.25">
      <c r="D3633" s="2"/>
      <c r="E3633" s="2"/>
    </row>
    <row r="3634" spans="4:5" x14ac:dyDescent="0.25">
      <c r="D3634" s="2"/>
      <c r="E3634" s="2"/>
    </row>
    <row r="3635" spans="4:5" x14ac:dyDescent="0.25">
      <c r="D3635" s="2"/>
      <c r="E3635" s="2"/>
    </row>
    <row r="3636" spans="4:5" x14ac:dyDescent="0.25">
      <c r="D3636" s="2"/>
      <c r="E3636" s="2"/>
    </row>
    <row r="3637" spans="4:5" x14ac:dyDescent="0.25">
      <c r="D3637" s="2"/>
      <c r="E3637" s="2"/>
    </row>
    <row r="3638" spans="4:5" x14ac:dyDescent="0.25">
      <c r="D3638" s="2"/>
      <c r="E3638" s="2"/>
    </row>
    <row r="3639" spans="4:5" x14ac:dyDescent="0.25">
      <c r="D3639" s="2"/>
      <c r="E3639" s="2"/>
    </row>
    <row r="3640" spans="4:5" x14ac:dyDescent="0.25">
      <c r="D3640" s="2"/>
      <c r="E3640" s="2"/>
    </row>
    <row r="3641" spans="4:5" x14ac:dyDescent="0.25">
      <c r="D3641" s="2"/>
      <c r="E3641" s="2"/>
    </row>
    <row r="3642" spans="4:5" x14ac:dyDescent="0.25">
      <c r="D3642" s="2"/>
      <c r="E3642" s="2"/>
    </row>
    <row r="3643" spans="4:5" x14ac:dyDescent="0.25">
      <c r="D3643" s="2"/>
      <c r="E3643" s="2"/>
    </row>
    <row r="3644" spans="4:5" x14ac:dyDescent="0.25">
      <c r="D3644" s="2"/>
      <c r="E3644" s="2"/>
    </row>
    <row r="3645" spans="4:5" x14ac:dyDescent="0.25">
      <c r="D3645" s="2"/>
      <c r="E3645" s="2"/>
    </row>
    <row r="3646" spans="4:5" x14ac:dyDescent="0.25">
      <c r="D3646" s="2"/>
      <c r="E3646" s="2"/>
    </row>
    <row r="3647" spans="4:5" x14ac:dyDescent="0.25">
      <c r="D3647" s="2"/>
      <c r="E3647" s="2"/>
    </row>
    <row r="3648" spans="4:5" x14ac:dyDescent="0.25">
      <c r="D3648" s="2"/>
      <c r="E3648" s="2"/>
    </row>
    <row r="3649" spans="4:5" x14ac:dyDescent="0.25">
      <c r="D3649" s="2"/>
      <c r="E3649" s="2"/>
    </row>
    <row r="3650" spans="4:5" x14ac:dyDescent="0.25">
      <c r="D3650" s="2"/>
      <c r="E3650" s="2"/>
    </row>
    <row r="3651" spans="4:5" x14ac:dyDescent="0.25">
      <c r="D3651" s="2"/>
      <c r="E3651" s="2"/>
    </row>
    <row r="3652" spans="4:5" x14ac:dyDescent="0.25">
      <c r="D3652" s="2"/>
      <c r="E3652" s="2"/>
    </row>
    <row r="3653" spans="4:5" x14ac:dyDescent="0.25">
      <c r="D3653" s="2"/>
      <c r="E3653" s="2"/>
    </row>
    <row r="3654" spans="4:5" x14ac:dyDescent="0.25">
      <c r="D3654" s="2"/>
      <c r="E3654" s="2"/>
    </row>
    <row r="3655" spans="4:5" x14ac:dyDescent="0.25">
      <c r="D3655" s="2"/>
      <c r="E3655" s="2"/>
    </row>
    <row r="3656" spans="4:5" x14ac:dyDescent="0.25">
      <c r="D3656" s="2"/>
      <c r="E3656" s="2"/>
    </row>
    <row r="3657" spans="4:5" x14ac:dyDescent="0.25">
      <c r="D3657" s="2"/>
      <c r="E3657" s="2"/>
    </row>
    <row r="3658" spans="4:5" x14ac:dyDescent="0.25">
      <c r="D3658" s="2"/>
      <c r="E3658" s="2"/>
    </row>
    <row r="3659" spans="4:5" x14ac:dyDescent="0.25">
      <c r="D3659" s="2"/>
      <c r="E3659" s="2"/>
    </row>
    <row r="3660" spans="4:5" x14ac:dyDescent="0.25">
      <c r="D3660" s="2"/>
      <c r="E3660" s="2"/>
    </row>
    <row r="3661" spans="4:5" x14ac:dyDescent="0.25">
      <c r="D3661" s="2"/>
      <c r="E3661" s="2"/>
    </row>
    <row r="3662" spans="4:5" x14ac:dyDescent="0.25">
      <c r="D3662" s="2"/>
      <c r="E3662" s="2"/>
    </row>
    <row r="3663" spans="4:5" x14ac:dyDescent="0.25">
      <c r="D3663" s="2"/>
      <c r="E3663" s="2"/>
    </row>
    <row r="3664" spans="4:5" x14ac:dyDescent="0.25">
      <c r="D3664" s="2"/>
      <c r="E3664" s="2"/>
    </row>
    <row r="3665" spans="4:5" x14ac:dyDescent="0.25">
      <c r="D3665" s="2"/>
      <c r="E3665" s="2"/>
    </row>
    <row r="3666" spans="4:5" x14ac:dyDescent="0.25">
      <c r="D3666" s="2"/>
      <c r="E3666" s="2"/>
    </row>
    <row r="3667" spans="4:5" x14ac:dyDescent="0.25">
      <c r="D3667" s="2"/>
      <c r="E3667" s="2"/>
    </row>
    <row r="3668" spans="4:5" x14ac:dyDescent="0.25">
      <c r="D3668" s="2"/>
      <c r="E3668" s="2"/>
    </row>
    <row r="3669" spans="4:5" x14ac:dyDescent="0.25">
      <c r="D3669" s="2"/>
      <c r="E3669" s="2"/>
    </row>
    <row r="3670" spans="4:5" x14ac:dyDescent="0.25">
      <c r="D3670" s="2"/>
      <c r="E3670" s="2"/>
    </row>
    <row r="3671" spans="4:5" x14ac:dyDescent="0.25">
      <c r="D3671" s="2"/>
      <c r="E3671" s="2"/>
    </row>
    <row r="3672" spans="4:5" x14ac:dyDescent="0.25">
      <c r="D3672" s="2"/>
      <c r="E3672" s="2"/>
    </row>
    <row r="3673" spans="4:5" x14ac:dyDescent="0.25">
      <c r="D3673" s="2"/>
      <c r="E3673" s="2"/>
    </row>
    <row r="3674" spans="4:5" x14ac:dyDescent="0.25">
      <c r="D3674" s="2"/>
      <c r="E3674" s="2"/>
    </row>
    <row r="3675" spans="4:5" x14ac:dyDescent="0.25">
      <c r="D3675" s="2"/>
      <c r="E3675" s="2"/>
    </row>
    <row r="3676" spans="4:5" x14ac:dyDescent="0.25">
      <c r="D3676" s="2"/>
      <c r="E3676" s="2"/>
    </row>
    <row r="3677" spans="4:5" x14ac:dyDescent="0.25">
      <c r="D3677" s="2"/>
      <c r="E3677" s="2"/>
    </row>
    <row r="3678" spans="4:5" x14ac:dyDescent="0.25">
      <c r="D3678" s="2"/>
      <c r="E3678" s="2"/>
    </row>
    <row r="3679" spans="4:5" x14ac:dyDescent="0.25">
      <c r="D3679" s="2"/>
      <c r="E3679" s="2"/>
    </row>
    <row r="3680" spans="4:5" x14ac:dyDescent="0.25">
      <c r="D3680" s="2"/>
      <c r="E3680" s="2"/>
    </row>
    <row r="3681" spans="4:5" x14ac:dyDescent="0.25">
      <c r="D3681" s="2"/>
      <c r="E3681" s="2"/>
    </row>
    <row r="3682" spans="4:5" x14ac:dyDescent="0.25">
      <c r="D3682" s="2"/>
      <c r="E3682" s="2"/>
    </row>
    <row r="3683" spans="4:5" x14ac:dyDescent="0.25">
      <c r="D3683" s="2"/>
      <c r="E3683" s="2"/>
    </row>
    <row r="3684" spans="4:5" x14ac:dyDescent="0.25">
      <c r="D3684" s="2"/>
      <c r="E3684" s="2"/>
    </row>
    <row r="3685" spans="4:5" x14ac:dyDescent="0.25">
      <c r="D3685" s="2"/>
      <c r="E3685" s="2"/>
    </row>
    <row r="3686" spans="4:5" x14ac:dyDescent="0.25">
      <c r="D3686" s="2"/>
      <c r="E3686" s="2"/>
    </row>
    <row r="3687" spans="4:5" x14ac:dyDescent="0.25">
      <c r="D3687" s="2"/>
      <c r="E3687" s="2"/>
    </row>
    <row r="3688" spans="4:5" x14ac:dyDescent="0.25">
      <c r="D3688" s="2"/>
      <c r="E3688" s="2"/>
    </row>
    <row r="3689" spans="4:5" x14ac:dyDescent="0.25">
      <c r="D3689" s="2"/>
      <c r="E3689" s="2"/>
    </row>
    <row r="3690" spans="4:5" x14ac:dyDescent="0.25">
      <c r="D3690" s="2"/>
      <c r="E3690" s="2"/>
    </row>
    <row r="3691" spans="4:5" x14ac:dyDescent="0.25">
      <c r="D3691" s="2"/>
      <c r="E3691" s="2"/>
    </row>
    <row r="3692" spans="4:5" x14ac:dyDescent="0.25">
      <c r="D3692" s="2"/>
      <c r="E3692" s="2"/>
    </row>
    <row r="3693" spans="4:5" x14ac:dyDescent="0.25">
      <c r="D3693" s="2"/>
      <c r="E3693" s="2"/>
    </row>
    <row r="3694" spans="4:5" x14ac:dyDescent="0.25">
      <c r="D3694" s="2"/>
      <c r="E3694" s="2"/>
    </row>
    <row r="3695" spans="4:5" x14ac:dyDescent="0.25">
      <c r="D3695" s="2"/>
      <c r="E3695" s="2"/>
    </row>
    <row r="3696" spans="4:5" x14ac:dyDescent="0.25">
      <c r="D3696" s="2"/>
      <c r="E3696" s="2"/>
    </row>
    <row r="3697" spans="4:5" x14ac:dyDescent="0.25">
      <c r="D3697" s="2"/>
      <c r="E3697" s="2"/>
    </row>
    <row r="3698" spans="4:5" x14ac:dyDescent="0.25">
      <c r="D3698" s="2"/>
      <c r="E3698" s="2"/>
    </row>
    <row r="3699" spans="4:5" x14ac:dyDescent="0.25">
      <c r="D3699" s="2"/>
      <c r="E3699" s="2"/>
    </row>
    <row r="3700" spans="4:5" x14ac:dyDescent="0.25">
      <c r="D3700" s="2"/>
      <c r="E3700" s="2"/>
    </row>
    <row r="3701" spans="4:5" x14ac:dyDescent="0.25">
      <c r="D3701" s="2"/>
      <c r="E3701" s="2"/>
    </row>
    <row r="3702" spans="4:5" x14ac:dyDescent="0.25">
      <c r="D3702" s="2"/>
      <c r="E3702" s="2"/>
    </row>
    <row r="3703" spans="4:5" x14ac:dyDescent="0.25">
      <c r="D3703" s="2"/>
      <c r="E3703" s="2"/>
    </row>
    <row r="3704" spans="4:5" x14ac:dyDescent="0.25">
      <c r="D3704" s="2"/>
      <c r="E3704" s="2"/>
    </row>
    <row r="3705" spans="4:5" x14ac:dyDescent="0.25">
      <c r="D3705" s="2"/>
      <c r="E3705" s="2"/>
    </row>
    <row r="3706" spans="4:5" x14ac:dyDescent="0.25">
      <c r="D3706" s="2"/>
      <c r="E3706" s="2"/>
    </row>
    <row r="3707" spans="4:5" x14ac:dyDescent="0.25">
      <c r="D3707" s="2"/>
      <c r="E3707" s="2"/>
    </row>
    <row r="3708" spans="4:5" x14ac:dyDescent="0.25">
      <c r="D3708" s="2"/>
      <c r="E3708" s="2"/>
    </row>
    <row r="3709" spans="4:5" x14ac:dyDescent="0.25">
      <c r="D3709" s="2"/>
      <c r="E3709" s="2"/>
    </row>
    <row r="3710" spans="4:5" x14ac:dyDescent="0.25">
      <c r="D3710" s="2"/>
      <c r="E3710" s="2"/>
    </row>
    <row r="3711" spans="4:5" x14ac:dyDescent="0.25">
      <c r="D3711" s="2"/>
      <c r="E3711" s="2"/>
    </row>
    <row r="3712" spans="4:5" x14ac:dyDescent="0.25">
      <c r="D3712" s="2"/>
      <c r="E3712" s="2"/>
    </row>
    <row r="3713" spans="4:5" x14ac:dyDescent="0.25">
      <c r="D3713" s="2"/>
      <c r="E3713" s="2"/>
    </row>
    <row r="3714" spans="4:5" x14ac:dyDescent="0.25">
      <c r="D3714" s="2"/>
      <c r="E3714" s="2"/>
    </row>
    <row r="3715" spans="4:5" x14ac:dyDescent="0.25">
      <c r="D3715" s="2"/>
      <c r="E3715" s="2"/>
    </row>
    <row r="3716" spans="4:5" x14ac:dyDescent="0.25">
      <c r="D3716" s="2"/>
      <c r="E3716" s="2"/>
    </row>
    <row r="3717" spans="4:5" x14ac:dyDescent="0.25">
      <c r="D3717" s="2"/>
      <c r="E3717" s="2"/>
    </row>
    <row r="3718" spans="4:5" x14ac:dyDescent="0.25">
      <c r="D3718" s="2"/>
      <c r="E3718" s="2"/>
    </row>
    <row r="3719" spans="4:5" x14ac:dyDescent="0.25">
      <c r="D3719" s="2"/>
      <c r="E3719" s="2"/>
    </row>
    <row r="3720" spans="4:5" x14ac:dyDescent="0.25">
      <c r="D3720" s="2"/>
      <c r="E3720" s="2"/>
    </row>
    <row r="3721" spans="4:5" x14ac:dyDescent="0.25">
      <c r="D3721" s="2"/>
      <c r="E3721" s="2"/>
    </row>
    <row r="3722" spans="4:5" x14ac:dyDescent="0.25">
      <c r="D3722" s="2"/>
      <c r="E3722" s="2"/>
    </row>
    <row r="3723" spans="4:5" x14ac:dyDescent="0.25">
      <c r="D3723" s="2"/>
      <c r="E3723" s="2"/>
    </row>
    <row r="3724" spans="4:5" x14ac:dyDescent="0.25">
      <c r="D3724" s="2"/>
      <c r="E3724" s="2"/>
    </row>
    <row r="3725" spans="4:5" x14ac:dyDescent="0.25">
      <c r="D3725" s="2"/>
      <c r="E3725" s="2"/>
    </row>
    <row r="3726" spans="4:5" x14ac:dyDescent="0.25">
      <c r="D3726" s="2"/>
      <c r="E3726" s="2"/>
    </row>
    <row r="3727" spans="4:5" x14ac:dyDescent="0.25">
      <c r="D3727" s="2"/>
      <c r="E3727" s="2"/>
    </row>
    <row r="3728" spans="4:5" x14ac:dyDescent="0.25">
      <c r="D3728" s="2"/>
      <c r="E3728" s="2"/>
    </row>
    <row r="3729" spans="4:5" x14ac:dyDescent="0.25">
      <c r="D3729" s="2"/>
      <c r="E3729" s="2"/>
    </row>
    <row r="3730" spans="4:5" x14ac:dyDescent="0.25">
      <c r="D3730" s="2"/>
      <c r="E3730" s="2"/>
    </row>
    <row r="3731" spans="4:5" x14ac:dyDescent="0.25">
      <c r="D3731" s="2"/>
      <c r="E3731" s="2"/>
    </row>
    <row r="3732" spans="4:5" x14ac:dyDescent="0.25">
      <c r="D3732" s="2"/>
      <c r="E3732" s="2"/>
    </row>
    <row r="3733" spans="4:5" x14ac:dyDescent="0.25">
      <c r="D3733" s="2"/>
      <c r="E3733" s="2"/>
    </row>
    <row r="3734" spans="4:5" x14ac:dyDescent="0.25">
      <c r="D3734" s="2"/>
      <c r="E3734" s="2"/>
    </row>
    <row r="3735" spans="4:5" x14ac:dyDescent="0.25">
      <c r="D3735" s="2"/>
      <c r="E3735" s="2"/>
    </row>
    <row r="3736" spans="4:5" x14ac:dyDescent="0.25">
      <c r="D3736" s="2"/>
      <c r="E3736" s="2"/>
    </row>
    <row r="3737" spans="4:5" x14ac:dyDescent="0.25">
      <c r="D3737" s="2"/>
      <c r="E3737" s="2"/>
    </row>
    <row r="3738" spans="4:5" x14ac:dyDescent="0.25">
      <c r="D3738" s="2"/>
      <c r="E3738" s="2"/>
    </row>
    <row r="3739" spans="4:5" x14ac:dyDescent="0.25">
      <c r="D3739" s="2"/>
      <c r="E3739" s="2"/>
    </row>
    <row r="3740" spans="4:5" x14ac:dyDescent="0.25">
      <c r="D3740" s="2"/>
      <c r="E3740" s="2"/>
    </row>
    <row r="3741" spans="4:5" x14ac:dyDescent="0.25">
      <c r="D3741" s="2"/>
      <c r="E3741" s="2"/>
    </row>
    <row r="3742" spans="4:5" x14ac:dyDescent="0.25">
      <c r="D3742" s="2"/>
      <c r="E3742" s="2"/>
    </row>
    <row r="3743" spans="4:5" x14ac:dyDescent="0.25">
      <c r="D3743" s="2"/>
      <c r="E3743" s="2"/>
    </row>
    <row r="3744" spans="4:5" x14ac:dyDescent="0.25">
      <c r="D3744" s="2"/>
      <c r="E3744" s="2"/>
    </row>
    <row r="3745" spans="4:5" x14ac:dyDescent="0.25">
      <c r="D3745" s="2"/>
      <c r="E3745" s="2"/>
    </row>
    <row r="3746" spans="4:5" x14ac:dyDescent="0.25">
      <c r="D3746" s="2"/>
      <c r="E3746" s="2"/>
    </row>
    <row r="3747" spans="4:5" x14ac:dyDescent="0.25">
      <c r="D3747" s="2"/>
      <c r="E3747" s="2"/>
    </row>
    <row r="3748" spans="4:5" x14ac:dyDescent="0.25">
      <c r="D3748" s="2"/>
      <c r="E3748" s="2"/>
    </row>
    <row r="3749" spans="4:5" x14ac:dyDescent="0.25">
      <c r="D3749" s="2"/>
      <c r="E3749" s="2"/>
    </row>
    <row r="3750" spans="4:5" x14ac:dyDescent="0.25">
      <c r="D3750" s="2"/>
      <c r="E3750" s="2"/>
    </row>
    <row r="3751" spans="4:5" x14ac:dyDescent="0.25">
      <c r="D3751" s="2"/>
      <c r="E3751" s="2"/>
    </row>
    <row r="3752" spans="4:5" x14ac:dyDescent="0.25">
      <c r="D3752" s="2"/>
      <c r="E3752" s="2"/>
    </row>
    <row r="3753" spans="4:5" x14ac:dyDescent="0.25">
      <c r="D3753" s="2"/>
      <c r="E3753" s="2"/>
    </row>
    <row r="3754" spans="4:5" x14ac:dyDescent="0.25">
      <c r="D3754" s="2"/>
      <c r="E3754" s="2"/>
    </row>
    <row r="3755" spans="4:5" x14ac:dyDescent="0.25">
      <c r="D3755" s="2"/>
      <c r="E3755" s="2"/>
    </row>
    <row r="3756" spans="4:5" x14ac:dyDescent="0.25">
      <c r="D3756" s="2"/>
      <c r="E3756" s="2"/>
    </row>
    <row r="3757" spans="4:5" x14ac:dyDescent="0.25">
      <c r="D3757" s="2"/>
      <c r="E3757" s="2"/>
    </row>
    <row r="3758" spans="4:5" x14ac:dyDescent="0.25">
      <c r="D3758" s="2"/>
      <c r="E3758" s="2"/>
    </row>
    <row r="3759" spans="4:5" x14ac:dyDescent="0.25">
      <c r="D3759" s="2"/>
      <c r="E3759" s="2"/>
    </row>
    <row r="3760" spans="4:5" x14ac:dyDescent="0.25">
      <c r="D3760" s="2"/>
      <c r="E3760" s="2"/>
    </row>
    <row r="3761" spans="4:5" x14ac:dyDescent="0.25">
      <c r="D3761" s="2"/>
      <c r="E3761" s="2"/>
    </row>
    <row r="3762" spans="4:5" x14ac:dyDescent="0.25">
      <c r="D3762" s="2"/>
      <c r="E3762" s="2"/>
    </row>
    <row r="3763" spans="4:5" x14ac:dyDescent="0.25">
      <c r="D3763" s="2"/>
      <c r="E3763" s="2"/>
    </row>
    <row r="3764" spans="4:5" x14ac:dyDescent="0.25">
      <c r="D3764" s="2"/>
      <c r="E3764" s="2"/>
    </row>
    <row r="3765" spans="4:5" x14ac:dyDescent="0.25">
      <c r="D3765" s="2"/>
      <c r="E3765" s="2"/>
    </row>
    <row r="3766" spans="4:5" x14ac:dyDescent="0.25">
      <c r="D3766" s="2"/>
      <c r="E3766" s="2"/>
    </row>
    <row r="3767" spans="4:5" x14ac:dyDescent="0.25">
      <c r="D3767" s="2"/>
      <c r="E3767" s="2"/>
    </row>
    <row r="3768" spans="4:5" x14ac:dyDescent="0.25">
      <c r="D3768" s="2"/>
      <c r="E3768" s="2"/>
    </row>
    <row r="3769" spans="4:5" x14ac:dyDescent="0.25">
      <c r="D3769" s="2"/>
      <c r="E3769" s="2"/>
    </row>
    <row r="3770" spans="4:5" x14ac:dyDescent="0.25">
      <c r="D3770" s="2"/>
      <c r="E3770" s="2"/>
    </row>
    <row r="3771" spans="4:5" x14ac:dyDescent="0.25">
      <c r="D3771" s="2"/>
      <c r="E3771" s="2"/>
    </row>
    <row r="3772" spans="4:5" x14ac:dyDescent="0.25">
      <c r="D3772" s="2"/>
      <c r="E3772" s="2"/>
    </row>
    <row r="3773" spans="4:5" x14ac:dyDescent="0.25">
      <c r="D3773" s="2"/>
      <c r="E3773" s="2"/>
    </row>
    <row r="3774" spans="4:5" x14ac:dyDescent="0.25">
      <c r="D3774" s="2"/>
      <c r="E3774" s="2"/>
    </row>
    <row r="3775" spans="4:5" x14ac:dyDescent="0.25">
      <c r="D3775" s="2"/>
      <c r="E3775" s="2"/>
    </row>
    <row r="3776" spans="4:5" x14ac:dyDescent="0.25">
      <c r="D3776" s="2"/>
      <c r="E3776" s="2"/>
    </row>
    <row r="3777" spans="4:5" x14ac:dyDescent="0.25">
      <c r="D3777" s="2"/>
      <c r="E3777" s="2"/>
    </row>
    <row r="3778" spans="4:5" x14ac:dyDescent="0.25">
      <c r="D3778" s="2"/>
      <c r="E3778" s="2"/>
    </row>
    <row r="3779" spans="4:5" x14ac:dyDescent="0.25">
      <c r="D3779" s="2"/>
      <c r="E3779" s="2"/>
    </row>
    <row r="3780" spans="4:5" x14ac:dyDescent="0.25">
      <c r="D3780" s="2"/>
      <c r="E3780" s="2"/>
    </row>
    <row r="3781" spans="4:5" x14ac:dyDescent="0.25">
      <c r="D3781" s="2"/>
      <c r="E3781" s="2"/>
    </row>
    <row r="3782" spans="4:5" x14ac:dyDescent="0.25">
      <c r="D3782" s="2"/>
      <c r="E3782" s="2"/>
    </row>
    <row r="3783" spans="4:5" x14ac:dyDescent="0.25">
      <c r="D3783" s="2"/>
      <c r="E3783" s="2"/>
    </row>
    <row r="3784" spans="4:5" x14ac:dyDescent="0.25">
      <c r="D3784" s="2"/>
      <c r="E3784" s="2"/>
    </row>
    <row r="3785" spans="4:5" x14ac:dyDescent="0.25">
      <c r="D3785" s="2"/>
      <c r="E3785" s="2"/>
    </row>
    <row r="3786" spans="4:5" x14ac:dyDescent="0.25">
      <c r="D3786" s="2"/>
      <c r="E3786" s="2"/>
    </row>
    <row r="3787" spans="4:5" x14ac:dyDescent="0.25">
      <c r="D3787" s="2"/>
      <c r="E3787" s="2"/>
    </row>
    <row r="3788" spans="4:5" x14ac:dyDescent="0.25">
      <c r="D3788" s="2"/>
      <c r="E3788" s="2"/>
    </row>
    <row r="3789" spans="4:5" x14ac:dyDescent="0.25">
      <c r="D3789" s="2"/>
      <c r="E3789" s="2"/>
    </row>
    <row r="3790" spans="4:5" x14ac:dyDescent="0.25">
      <c r="D3790" s="2"/>
      <c r="E3790" s="2"/>
    </row>
    <row r="3791" spans="4:5" x14ac:dyDescent="0.25">
      <c r="D3791" s="2"/>
      <c r="E3791" s="2"/>
    </row>
    <row r="3792" spans="4:5" x14ac:dyDescent="0.25">
      <c r="D3792" s="2"/>
      <c r="E3792" s="2"/>
    </row>
    <row r="3793" spans="4:5" x14ac:dyDescent="0.25">
      <c r="D3793" s="2"/>
      <c r="E3793" s="2"/>
    </row>
    <row r="3794" spans="4:5" x14ac:dyDescent="0.25">
      <c r="D3794" s="2"/>
      <c r="E3794" s="2"/>
    </row>
    <row r="3795" spans="4:5" x14ac:dyDescent="0.25">
      <c r="D3795" s="2"/>
      <c r="E3795" s="2"/>
    </row>
    <row r="3796" spans="4:5" x14ac:dyDescent="0.25">
      <c r="D3796" s="2"/>
      <c r="E3796" s="2"/>
    </row>
    <row r="3797" spans="4:5" x14ac:dyDescent="0.25">
      <c r="D3797" s="2"/>
      <c r="E3797" s="2"/>
    </row>
    <row r="3798" spans="4:5" x14ac:dyDescent="0.25">
      <c r="D3798" s="2"/>
      <c r="E3798" s="2"/>
    </row>
    <row r="3799" spans="4:5" x14ac:dyDescent="0.25">
      <c r="D3799" s="2"/>
      <c r="E3799" s="2"/>
    </row>
    <row r="3800" spans="4:5" x14ac:dyDescent="0.25">
      <c r="D3800" s="2"/>
      <c r="E3800" s="2"/>
    </row>
    <row r="3801" spans="4:5" x14ac:dyDescent="0.25">
      <c r="D3801" s="2"/>
      <c r="E3801" s="2"/>
    </row>
    <row r="3802" spans="4:5" x14ac:dyDescent="0.25">
      <c r="D3802" s="2"/>
      <c r="E3802" s="2"/>
    </row>
    <row r="3803" spans="4:5" x14ac:dyDescent="0.25">
      <c r="D3803" s="2"/>
      <c r="E3803" s="2"/>
    </row>
    <row r="3804" spans="4:5" x14ac:dyDescent="0.25">
      <c r="D3804" s="2"/>
      <c r="E3804" s="2"/>
    </row>
    <row r="3805" spans="4:5" x14ac:dyDescent="0.25">
      <c r="D3805" s="2"/>
      <c r="E3805" s="2"/>
    </row>
    <row r="3806" spans="4:5" x14ac:dyDescent="0.25">
      <c r="D3806" s="2"/>
      <c r="E3806" s="2"/>
    </row>
    <row r="3807" spans="4:5" x14ac:dyDescent="0.25">
      <c r="D3807" s="2"/>
      <c r="E3807" s="2"/>
    </row>
    <row r="3808" spans="4:5" x14ac:dyDescent="0.25">
      <c r="D3808" s="2"/>
      <c r="E3808" s="2"/>
    </row>
    <row r="3809" spans="4:5" x14ac:dyDescent="0.25">
      <c r="D3809" s="2"/>
      <c r="E3809" s="2"/>
    </row>
    <row r="3810" spans="4:5" x14ac:dyDescent="0.25">
      <c r="D3810" s="2"/>
      <c r="E3810" s="2"/>
    </row>
    <row r="3811" spans="4:5" x14ac:dyDescent="0.25">
      <c r="D3811" s="2"/>
      <c r="E3811" s="2"/>
    </row>
    <row r="3812" spans="4:5" x14ac:dyDescent="0.25">
      <c r="D3812" s="2"/>
      <c r="E3812" s="2"/>
    </row>
    <row r="3813" spans="4:5" x14ac:dyDescent="0.25">
      <c r="D3813" s="2"/>
      <c r="E3813" s="2"/>
    </row>
    <row r="3814" spans="4:5" x14ac:dyDescent="0.25">
      <c r="D3814" s="2"/>
      <c r="E3814" s="2"/>
    </row>
    <row r="3815" spans="4:5" x14ac:dyDescent="0.25">
      <c r="D3815" s="2"/>
      <c r="E3815" s="2"/>
    </row>
    <row r="3816" spans="4:5" x14ac:dyDescent="0.25">
      <c r="D3816" s="2"/>
      <c r="E3816" s="2"/>
    </row>
    <row r="3817" spans="4:5" x14ac:dyDescent="0.25">
      <c r="D3817" s="2"/>
      <c r="E3817" s="2"/>
    </row>
    <row r="3818" spans="4:5" x14ac:dyDescent="0.25">
      <c r="D3818" s="2"/>
      <c r="E3818" s="2"/>
    </row>
    <row r="3819" spans="4:5" x14ac:dyDescent="0.25">
      <c r="D3819" s="2"/>
      <c r="E3819" s="2"/>
    </row>
    <row r="3820" spans="4:5" x14ac:dyDescent="0.25">
      <c r="D3820" s="2"/>
      <c r="E3820" s="2"/>
    </row>
    <row r="3821" spans="4:5" x14ac:dyDescent="0.25">
      <c r="D3821" s="2"/>
      <c r="E3821" s="2"/>
    </row>
    <row r="3822" spans="4:5" x14ac:dyDescent="0.25">
      <c r="D3822" s="2"/>
      <c r="E3822" s="2"/>
    </row>
    <row r="3823" spans="4:5" x14ac:dyDescent="0.25">
      <c r="D3823" s="2"/>
      <c r="E3823" s="2"/>
    </row>
    <row r="3824" spans="4:5" x14ac:dyDescent="0.25">
      <c r="D3824" s="2"/>
      <c r="E3824" s="2"/>
    </row>
    <row r="3825" spans="4:5" x14ac:dyDescent="0.25">
      <c r="D3825" s="2"/>
      <c r="E3825" s="2"/>
    </row>
    <row r="3826" spans="4:5" x14ac:dyDescent="0.25">
      <c r="D3826" s="2"/>
      <c r="E3826" s="2"/>
    </row>
    <row r="3827" spans="4:5" x14ac:dyDescent="0.25">
      <c r="D3827" s="2"/>
      <c r="E3827" s="2"/>
    </row>
    <row r="3828" spans="4:5" x14ac:dyDescent="0.25">
      <c r="D3828" s="2"/>
      <c r="E3828" s="2"/>
    </row>
    <row r="3829" spans="4:5" x14ac:dyDescent="0.25">
      <c r="D3829" s="2"/>
      <c r="E3829" s="2"/>
    </row>
    <row r="3830" spans="4:5" x14ac:dyDescent="0.25">
      <c r="D3830" s="2"/>
      <c r="E3830" s="2"/>
    </row>
    <row r="3831" spans="4:5" x14ac:dyDescent="0.25">
      <c r="D3831" s="2"/>
      <c r="E3831" s="2"/>
    </row>
    <row r="3832" spans="4:5" x14ac:dyDescent="0.25">
      <c r="D3832" s="2"/>
      <c r="E3832" s="2"/>
    </row>
    <row r="3833" spans="4:5" x14ac:dyDescent="0.25">
      <c r="D3833" s="2"/>
      <c r="E3833" s="2"/>
    </row>
    <row r="3834" spans="4:5" x14ac:dyDescent="0.25">
      <c r="D3834" s="2"/>
      <c r="E3834" s="2"/>
    </row>
    <row r="3835" spans="4:5" x14ac:dyDescent="0.25">
      <c r="D3835" s="2"/>
      <c r="E3835" s="2"/>
    </row>
    <row r="3836" spans="4:5" x14ac:dyDescent="0.25">
      <c r="D3836" s="2"/>
      <c r="E3836" s="2"/>
    </row>
    <row r="3837" spans="4:5" x14ac:dyDescent="0.25">
      <c r="D3837" s="2"/>
      <c r="E3837" s="2"/>
    </row>
    <row r="3838" spans="4:5" x14ac:dyDescent="0.25">
      <c r="D3838" s="2"/>
      <c r="E3838" s="2"/>
    </row>
    <row r="3839" spans="4:5" x14ac:dyDescent="0.25">
      <c r="D3839" s="2"/>
      <c r="E3839" s="2"/>
    </row>
    <row r="3840" spans="4:5" x14ac:dyDescent="0.25">
      <c r="D3840" s="2"/>
      <c r="E3840" s="2"/>
    </row>
    <row r="3841" spans="4:5" x14ac:dyDescent="0.25">
      <c r="D3841" s="2"/>
      <c r="E3841" s="2"/>
    </row>
    <row r="3842" spans="4:5" x14ac:dyDescent="0.25">
      <c r="D3842" s="2"/>
      <c r="E3842" s="2"/>
    </row>
    <row r="3843" spans="4:5" x14ac:dyDescent="0.25">
      <c r="D3843" s="2"/>
      <c r="E3843" s="2"/>
    </row>
    <row r="3844" spans="4:5" x14ac:dyDescent="0.25">
      <c r="D3844" s="2"/>
      <c r="E3844" s="2"/>
    </row>
    <row r="3845" spans="4:5" x14ac:dyDescent="0.25">
      <c r="D3845" s="2"/>
      <c r="E3845" s="2"/>
    </row>
    <row r="3846" spans="4:5" x14ac:dyDescent="0.25">
      <c r="D3846" s="2"/>
      <c r="E3846" s="2"/>
    </row>
    <row r="3847" spans="4:5" x14ac:dyDescent="0.25">
      <c r="D3847" s="2"/>
      <c r="E3847" s="2"/>
    </row>
    <row r="3848" spans="4:5" x14ac:dyDescent="0.25">
      <c r="D3848" s="2"/>
      <c r="E3848" s="2"/>
    </row>
    <row r="3849" spans="4:5" x14ac:dyDescent="0.25">
      <c r="D3849" s="2"/>
      <c r="E3849" s="2"/>
    </row>
    <row r="3850" spans="4:5" x14ac:dyDescent="0.25">
      <c r="D3850" s="2"/>
      <c r="E3850" s="2"/>
    </row>
    <row r="3851" spans="4:5" x14ac:dyDescent="0.25">
      <c r="D3851" s="2"/>
      <c r="E3851" s="2"/>
    </row>
    <row r="3852" spans="4:5" x14ac:dyDescent="0.25">
      <c r="D3852" s="2"/>
      <c r="E3852" s="2"/>
    </row>
    <row r="3853" spans="4:5" x14ac:dyDescent="0.25">
      <c r="D3853" s="2"/>
      <c r="E3853" s="2"/>
    </row>
    <row r="3854" spans="4:5" x14ac:dyDescent="0.25">
      <c r="D3854" s="2"/>
      <c r="E3854" s="2"/>
    </row>
    <row r="3855" spans="4:5" x14ac:dyDescent="0.25">
      <c r="D3855" s="2"/>
      <c r="E3855" s="2"/>
    </row>
    <row r="3856" spans="4:5" x14ac:dyDescent="0.25">
      <c r="D3856" s="2"/>
      <c r="E3856" s="2"/>
    </row>
    <row r="3857" spans="4:5" x14ac:dyDescent="0.25">
      <c r="D3857" s="2"/>
      <c r="E3857" s="2"/>
    </row>
    <row r="3858" spans="4:5" x14ac:dyDescent="0.25">
      <c r="D3858" s="2"/>
      <c r="E3858" s="2"/>
    </row>
    <row r="3859" spans="4:5" x14ac:dyDescent="0.25">
      <c r="D3859" s="2"/>
      <c r="E3859" s="2"/>
    </row>
    <row r="3860" spans="4:5" x14ac:dyDescent="0.25">
      <c r="D3860" s="2"/>
      <c r="E3860" s="2"/>
    </row>
    <row r="3861" spans="4:5" x14ac:dyDescent="0.25">
      <c r="D3861" s="2"/>
      <c r="E3861" s="2"/>
    </row>
    <row r="3862" spans="4:5" x14ac:dyDescent="0.25">
      <c r="D3862" s="2"/>
      <c r="E3862" s="2"/>
    </row>
    <row r="3863" spans="4:5" x14ac:dyDescent="0.25">
      <c r="D3863" s="2"/>
      <c r="E3863" s="2"/>
    </row>
    <row r="3864" spans="4:5" x14ac:dyDescent="0.25">
      <c r="D3864" s="2"/>
      <c r="E3864" s="2"/>
    </row>
    <row r="3865" spans="4:5" x14ac:dyDescent="0.25">
      <c r="D3865" s="2"/>
      <c r="E3865" s="2"/>
    </row>
    <row r="3866" spans="4:5" x14ac:dyDescent="0.25">
      <c r="D3866" s="2"/>
      <c r="E3866" s="2"/>
    </row>
    <row r="3867" spans="4:5" x14ac:dyDescent="0.25">
      <c r="D3867" s="2"/>
      <c r="E3867" s="2"/>
    </row>
    <row r="3868" spans="4:5" x14ac:dyDescent="0.25">
      <c r="D3868" s="2"/>
      <c r="E3868" s="2"/>
    </row>
    <row r="3869" spans="4:5" x14ac:dyDescent="0.25">
      <c r="D3869" s="2"/>
      <c r="E3869" s="2"/>
    </row>
    <row r="3870" spans="4:5" x14ac:dyDescent="0.25">
      <c r="D3870" s="2"/>
      <c r="E3870" s="2"/>
    </row>
    <row r="3871" spans="4:5" x14ac:dyDescent="0.25">
      <c r="D3871" s="2"/>
      <c r="E3871" s="2"/>
    </row>
    <row r="3872" spans="4:5" x14ac:dyDescent="0.25">
      <c r="D3872" s="2"/>
      <c r="E3872" s="2"/>
    </row>
    <row r="3873" spans="4:5" x14ac:dyDescent="0.25">
      <c r="D3873" s="2"/>
      <c r="E3873" s="2"/>
    </row>
    <row r="3874" spans="4:5" x14ac:dyDescent="0.25">
      <c r="D3874" s="2"/>
      <c r="E3874" s="2"/>
    </row>
    <row r="3875" spans="4:5" x14ac:dyDescent="0.25">
      <c r="D3875" s="2"/>
      <c r="E3875" s="2"/>
    </row>
    <row r="3876" spans="4:5" x14ac:dyDescent="0.25">
      <c r="D3876" s="2"/>
      <c r="E3876" s="2"/>
    </row>
    <row r="3877" spans="4:5" x14ac:dyDescent="0.25">
      <c r="D3877" s="2"/>
      <c r="E3877" s="2"/>
    </row>
    <row r="3878" spans="4:5" x14ac:dyDescent="0.25">
      <c r="D3878" s="2"/>
      <c r="E3878" s="2"/>
    </row>
    <row r="3879" spans="4:5" x14ac:dyDescent="0.25">
      <c r="D3879" s="2"/>
      <c r="E3879" s="2"/>
    </row>
    <row r="3880" spans="4:5" x14ac:dyDescent="0.25">
      <c r="D3880" s="2"/>
      <c r="E3880" s="2"/>
    </row>
    <row r="3881" spans="4:5" x14ac:dyDescent="0.25">
      <c r="D3881" s="2"/>
      <c r="E3881" s="2"/>
    </row>
    <row r="3882" spans="4:5" x14ac:dyDescent="0.25">
      <c r="D3882" s="2"/>
      <c r="E3882" s="2"/>
    </row>
    <row r="3883" spans="4:5" x14ac:dyDescent="0.25">
      <c r="D3883" s="2"/>
      <c r="E3883" s="2"/>
    </row>
    <row r="3884" spans="4:5" x14ac:dyDescent="0.25">
      <c r="D3884" s="2"/>
      <c r="E3884" s="2"/>
    </row>
    <row r="3885" spans="4:5" x14ac:dyDescent="0.25">
      <c r="D3885" s="2"/>
      <c r="E3885" s="2"/>
    </row>
    <row r="3886" spans="4:5" x14ac:dyDescent="0.25">
      <c r="D3886" s="2"/>
      <c r="E3886" s="2"/>
    </row>
    <row r="3887" spans="4:5" x14ac:dyDescent="0.25">
      <c r="D3887" s="2"/>
      <c r="E3887" s="2"/>
    </row>
    <row r="3888" spans="4:5" x14ac:dyDescent="0.25">
      <c r="D3888" s="2"/>
      <c r="E3888" s="2"/>
    </row>
    <row r="3889" spans="4:5" x14ac:dyDescent="0.25">
      <c r="D3889" s="2"/>
      <c r="E3889" s="2"/>
    </row>
    <row r="3890" spans="4:5" x14ac:dyDescent="0.25">
      <c r="D3890" s="2"/>
      <c r="E3890" s="2"/>
    </row>
    <row r="3891" spans="4:5" x14ac:dyDescent="0.25">
      <c r="D3891" s="2"/>
      <c r="E3891" s="2"/>
    </row>
    <row r="3892" spans="4:5" x14ac:dyDescent="0.25">
      <c r="D3892" s="2"/>
      <c r="E3892" s="2"/>
    </row>
    <row r="3893" spans="4:5" x14ac:dyDescent="0.25">
      <c r="D3893" s="2"/>
      <c r="E3893" s="2"/>
    </row>
    <row r="3894" spans="4:5" x14ac:dyDescent="0.25">
      <c r="D3894" s="2"/>
      <c r="E3894" s="2"/>
    </row>
    <row r="3895" spans="4:5" x14ac:dyDescent="0.25">
      <c r="D3895" s="2"/>
      <c r="E3895" s="2"/>
    </row>
    <row r="3896" spans="4:5" x14ac:dyDescent="0.25">
      <c r="D3896" s="2"/>
      <c r="E3896" s="2"/>
    </row>
    <row r="3897" spans="4:5" x14ac:dyDescent="0.25">
      <c r="D3897" s="2"/>
      <c r="E3897" s="2"/>
    </row>
    <row r="3898" spans="4:5" x14ac:dyDescent="0.25">
      <c r="D3898" s="2"/>
      <c r="E3898" s="2"/>
    </row>
    <row r="3899" spans="4:5" x14ac:dyDescent="0.25">
      <c r="D3899" s="2"/>
      <c r="E3899" s="2"/>
    </row>
    <row r="3900" spans="4:5" x14ac:dyDescent="0.25">
      <c r="D3900" s="2"/>
      <c r="E3900" s="2"/>
    </row>
    <row r="3901" spans="4:5" x14ac:dyDescent="0.25">
      <c r="D3901" s="2"/>
      <c r="E3901" s="2"/>
    </row>
    <row r="3902" spans="4:5" x14ac:dyDescent="0.25">
      <c r="D3902" s="2"/>
      <c r="E3902" s="2"/>
    </row>
    <row r="3903" spans="4:5" x14ac:dyDescent="0.25">
      <c r="D3903" s="2"/>
      <c r="E3903" s="2"/>
    </row>
    <row r="3904" spans="4:5" x14ac:dyDescent="0.25">
      <c r="D3904" s="2"/>
      <c r="E3904" s="2"/>
    </row>
    <row r="3905" spans="4:5" x14ac:dyDescent="0.25">
      <c r="D3905" s="2"/>
      <c r="E3905" s="2"/>
    </row>
    <row r="3906" spans="4:5" x14ac:dyDescent="0.25">
      <c r="D3906" s="2"/>
      <c r="E3906" s="2"/>
    </row>
    <row r="3907" spans="4:5" x14ac:dyDescent="0.25">
      <c r="D3907" s="2"/>
      <c r="E3907" s="2"/>
    </row>
    <row r="3908" spans="4:5" x14ac:dyDescent="0.25">
      <c r="D3908" s="2"/>
      <c r="E3908" s="2"/>
    </row>
    <row r="3909" spans="4:5" x14ac:dyDescent="0.25">
      <c r="D3909" s="2"/>
      <c r="E3909" s="2"/>
    </row>
    <row r="3910" spans="4:5" x14ac:dyDescent="0.25">
      <c r="D3910" s="2"/>
      <c r="E3910" s="2"/>
    </row>
    <row r="3911" spans="4:5" x14ac:dyDescent="0.25">
      <c r="D3911" s="2"/>
      <c r="E3911" s="2"/>
    </row>
    <row r="3912" spans="4:5" x14ac:dyDescent="0.25">
      <c r="D3912" s="2"/>
      <c r="E3912" s="2"/>
    </row>
    <row r="3913" spans="4:5" x14ac:dyDescent="0.25">
      <c r="D3913" s="2"/>
      <c r="E3913" s="2"/>
    </row>
    <row r="3914" spans="4:5" x14ac:dyDescent="0.25">
      <c r="D3914" s="2"/>
      <c r="E3914" s="2"/>
    </row>
    <row r="3915" spans="4:5" x14ac:dyDescent="0.25">
      <c r="D3915" s="2"/>
      <c r="E3915" s="2"/>
    </row>
    <row r="3916" spans="4:5" x14ac:dyDescent="0.25">
      <c r="D3916" s="2"/>
      <c r="E3916" s="2"/>
    </row>
    <row r="3917" spans="4:5" x14ac:dyDescent="0.25">
      <c r="D3917" s="2"/>
      <c r="E3917" s="2"/>
    </row>
    <row r="3918" spans="4:5" x14ac:dyDescent="0.25">
      <c r="D3918" s="2"/>
      <c r="E3918" s="2"/>
    </row>
    <row r="3919" spans="4:5" x14ac:dyDescent="0.25">
      <c r="D3919" s="2"/>
      <c r="E3919" s="2"/>
    </row>
    <row r="3920" spans="4:5" x14ac:dyDescent="0.25">
      <c r="D3920" s="2"/>
      <c r="E3920" s="2"/>
    </row>
    <row r="3921" spans="4:5" x14ac:dyDescent="0.25">
      <c r="D3921" s="2"/>
      <c r="E3921" s="2"/>
    </row>
    <row r="3922" spans="4:5" x14ac:dyDescent="0.25">
      <c r="D3922" s="2"/>
      <c r="E3922" s="2"/>
    </row>
    <row r="3923" spans="4:5" x14ac:dyDescent="0.25">
      <c r="D3923" s="2"/>
      <c r="E3923" s="2"/>
    </row>
    <row r="3924" spans="4:5" x14ac:dyDescent="0.25">
      <c r="D3924" s="2"/>
      <c r="E3924" s="2"/>
    </row>
    <row r="3925" spans="4:5" x14ac:dyDescent="0.25">
      <c r="D3925" s="2"/>
      <c r="E3925" s="2"/>
    </row>
    <row r="3926" spans="4:5" x14ac:dyDescent="0.25">
      <c r="D3926" s="2"/>
      <c r="E3926" s="2"/>
    </row>
    <row r="3927" spans="4:5" x14ac:dyDescent="0.25">
      <c r="D3927" s="2"/>
      <c r="E3927" s="2"/>
    </row>
    <row r="3928" spans="4:5" x14ac:dyDescent="0.25">
      <c r="D3928" s="2"/>
      <c r="E3928" s="2"/>
    </row>
    <row r="3929" spans="4:5" x14ac:dyDescent="0.25">
      <c r="D3929" s="2"/>
      <c r="E3929" s="2"/>
    </row>
    <row r="3930" spans="4:5" x14ac:dyDescent="0.25">
      <c r="D3930" s="2"/>
      <c r="E3930" s="2"/>
    </row>
    <row r="3931" spans="4:5" x14ac:dyDescent="0.25">
      <c r="D3931" s="2"/>
      <c r="E3931" s="2"/>
    </row>
    <row r="3932" spans="4:5" x14ac:dyDescent="0.25">
      <c r="D3932" s="2"/>
      <c r="E3932" s="2"/>
    </row>
    <row r="3933" spans="4:5" x14ac:dyDescent="0.25">
      <c r="D3933" s="2"/>
      <c r="E3933" s="2"/>
    </row>
    <row r="3934" spans="4:5" x14ac:dyDescent="0.25">
      <c r="D3934" s="2"/>
      <c r="E3934" s="2"/>
    </row>
    <row r="3935" spans="4:5" x14ac:dyDescent="0.25">
      <c r="D3935" s="2"/>
      <c r="E3935" s="2"/>
    </row>
    <row r="3936" spans="4:5" x14ac:dyDescent="0.25">
      <c r="D3936" s="2"/>
      <c r="E3936" s="2"/>
    </row>
    <row r="3937" spans="4:5" x14ac:dyDescent="0.25">
      <c r="D3937" s="2"/>
      <c r="E3937" s="2"/>
    </row>
    <row r="3938" spans="4:5" x14ac:dyDescent="0.25">
      <c r="D3938" s="2"/>
      <c r="E3938" s="2"/>
    </row>
    <row r="3939" spans="4:5" x14ac:dyDescent="0.25">
      <c r="D3939" s="2"/>
      <c r="E3939" s="2"/>
    </row>
    <row r="3940" spans="4:5" x14ac:dyDescent="0.25">
      <c r="D3940" s="2"/>
      <c r="E3940" s="2"/>
    </row>
    <row r="3941" spans="4:5" x14ac:dyDescent="0.25">
      <c r="D3941" s="2"/>
      <c r="E3941" s="2"/>
    </row>
    <row r="3942" spans="4:5" x14ac:dyDescent="0.25">
      <c r="D3942" s="2"/>
      <c r="E3942" s="2"/>
    </row>
    <row r="3943" spans="4:5" x14ac:dyDescent="0.25">
      <c r="D3943" s="2"/>
      <c r="E3943" s="2"/>
    </row>
    <row r="3944" spans="4:5" x14ac:dyDescent="0.25">
      <c r="D3944" s="2"/>
      <c r="E3944" s="2"/>
    </row>
    <row r="3945" spans="4:5" x14ac:dyDescent="0.25">
      <c r="D3945" s="2"/>
      <c r="E3945" s="2"/>
    </row>
    <row r="3946" spans="4:5" x14ac:dyDescent="0.25">
      <c r="D3946" s="2"/>
      <c r="E3946" s="2"/>
    </row>
    <row r="3947" spans="4:5" x14ac:dyDescent="0.25">
      <c r="D3947" s="2"/>
      <c r="E3947" s="2"/>
    </row>
    <row r="3948" spans="4:5" x14ac:dyDescent="0.25">
      <c r="D3948" s="2"/>
      <c r="E3948" s="2"/>
    </row>
    <row r="3949" spans="4:5" x14ac:dyDescent="0.25">
      <c r="D3949" s="2"/>
      <c r="E3949" s="2"/>
    </row>
    <row r="3950" spans="4:5" x14ac:dyDescent="0.25">
      <c r="D3950" s="2"/>
      <c r="E3950" s="2"/>
    </row>
    <row r="3951" spans="4:5" x14ac:dyDescent="0.25">
      <c r="D3951" s="2"/>
      <c r="E3951" s="2"/>
    </row>
    <row r="3952" spans="4:5" x14ac:dyDescent="0.25">
      <c r="D3952" s="2"/>
      <c r="E3952" s="2"/>
    </row>
    <row r="3953" spans="4:5" x14ac:dyDescent="0.25">
      <c r="D3953" s="2"/>
      <c r="E3953" s="2"/>
    </row>
    <row r="3954" spans="4:5" x14ac:dyDescent="0.25">
      <c r="D3954" s="2"/>
      <c r="E3954" s="2"/>
    </row>
    <row r="3955" spans="4:5" x14ac:dyDescent="0.25">
      <c r="D3955" s="2"/>
      <c r="E3955" s="2"/>
    </row>
    <row r="3956" spans="4:5" x14ac:dyDescent="0.25">
      <c r="D3956" s="2"/>
      <c r="E3956" s="2"/>
    </row>
    <row r="3957" spans="4:5" x14ac:dyDescent="0.25">
      <c r="D3957" s="2"/>
      <c r="E3957" s="2"/>
    </row>
    <row r="3958" spans="4:5" x14ac:dyDescent="0.25">
      <c r="D3958" s="2"/>
      <c r="E3958" s="2"/>
    </row>
    <row r="3959" spans="4:5" x14ac:dyDescent="0.25">
      <c r="D3959" s="2"/>
      <c r="E3959" s="2"/>
    </row>
    <row r="3960" spans="4:5" x14ac:dyDescent="0.25">
      <c r="D3960" s="2"/>
      <c r="E3960" s="2"/>
    </row>
    <row r="3961" spans="4:5" x14ac:dyDescent="0.25">
      <c r="D3961" s="2"/>
      <c r="E3961" s="2"/>
    </row>
    <row r="3962" spans="4:5" x14ac:dyDescent="0.25">
      <c r="D3962" s="2"/>
      <c r="E3962" s="2"/>
    </row>
    <row r="3963" spans="4:5" x14ac:dyDescent="0.25">
      <c r="D3963" s="2"/>
      <c r="E3963" s="2"/>
    </row>
    <row r="3964" spans="4:5" x14ac:dyDescent="0.25">
      <c r="D3964" s="2"/>
      <c r="E3964" s="2"/>
    </row>
    <row r="3965" spans="4:5" x14ac:dyDescent="0.25">
      <c r="D3965" s="2"/>
      <c r="E3965" s="2"/>
    </row>
    <row r="3966" spans="4:5" x14ac:dyDescent="0.25">
      <c r="D3966" s="2"/>
      <c r="E3966" s="2"/>
    </row>
    <row r="3967" spans="4:5" x14ac:dyDescent="0.25">
      <c r="D3967" s="2"/>
      <c r="E3967" s="2"/>
    </row>
    <row r="3968" spans="4:5" x14ac:dyDescent="0.25">
      <c r="D3968" s="2"/>
      <c r="E3968" s="2"/>
    </row>
    <row r="3969" spans="4:5" x14ac:dyDescent="0.25">
      <c r="D3969" s="2"/>
      <c r="E3969" s="2"/>
    </row>
    <row r="3970" spans="4:5" x14ac:dyDescent="0.25">
      <c r="D3970" s="2"/>
      <c r="E3970" s="2"/>
    </row>
    <row r="3971" spans="4:5" x14ac:dyDescent="0.25">
      <c r="D3971" s="2"/>
      <c r="E3971" s="2"/>
    </row>
    <row r="3972" spans="4:5" x14ac:dyDescent="0.25">
      <c r="D3972" s="2"/>
      <c r="E3972" s="2"/>
    </row>
    <row r="3973" spans="4:5" x14ac:dyDescent="0.25">
      <c r="D3973" s="2"/>
      <c r="E3973" s="2"/>
    </row>
    <row r="3974" spans="4:5" x14ac:dyDescent="0.25">
      <c r="D3974" s="2"/>
      <c r="E3974" s="2"/>
    </row>
    <row r="3975" spans="4:5" x14ac:dyDescent="0.25">
      <c r="D3975" s="2"/>
      <c r="E3975" s="2"/>
    </row>
    <row r="3976" spans="4:5" x14ac:dyDescent="0.25">
      <c r="D3976" s="2"/>
      <c r="E3976" s="2"/>
    </row>
    <row r="3977" spans="4:5" x14ac:dyDescent="0.25">
      <c r="D3977" s="2"/>
      <c r="E3977" s="2"/>
    </row>
    <row r="3978" spans="4:5" x14ac:dyDescent="0.25">
      <c r="D3978" s="2"/>
      <c r="E3978" s="2"/>
    </row>
    <row r="3979" spans="4:5" x14ac:dyDescent="0.25">
      <c r="D3979" s="2"/>
      <c r="E3979" s="2"/>
    </row>
    <row r="3980" spans="4:5" x14ac:dyDescent="0.25">
      <c r="D3980" s="2"/>
      <c r="E3980" s="2"/>
    </row>
    <row r="3981" spans="4:5" x14ac:dyDescent="0.25">
      <c r="D3981" s="2"/>
      <c r="E3981" s="2"/>
    </row>
    <row r="3982" spans="4:5" x14ac:dyDescent="0.25">
      <c r="D3982" s="2"/>
      <c r="E3982" s="2"/>
    </row>
    <row r="3983" spans="4:5" x14ac:dyDescent="0.25">
      <c r="D3983" s="2"/>
      <c r="E3983" s="2"/>
    </row>
    <row r="3984" spans="4:5" x14ac:dyDescent="0.25">
      <c r="D3984" s="2"/>
      <c r="E3984" s="2"/>
    </row>
    <row r="3985" spans="4:5" x14ac:dyDescent="0.25">
      <c r="D3985" s="2"/>
      <c r="E3985" s="2"/>
    </row>
    <row r="3986" spans="4:5" x14ac:dyDescent="0.25">
      <c r="D3986" s="2"/>
      <c r="E3986" s="2"/>
    </row>
    <row r="3987" spans="4:5" x14ac:dyDescent="0.25">
      <c r="D3987" s="2"/>
      <c r="E3987" s="2"/>
    </row>
    <row r="3988" spans="4:5" x14ac:dyDescent="0.25">
      <c r="D3988" s="2"/>
      <c r="E3988" s="2"/>
    </row>
    <row r="3989" spans="4:5" x14ac:dyDescent="0.25">
      <c r="D3989" s="2"/>
      <c r="E3989" s="2"/>
    </row>
    <row r="3990" spans="4:5" x14ac:dyDescent="0.25">
      <c r="D3990" s="2"/>
      <c r="E3990" s="2"/>
    </row>
    <row r="3991" spans="4:5" x14ac:dyDescent="0.25">
      <c r="D3991" s="2"/>
      <c r="E3991" s="2"/>
    </row>
    <row r="3992" spans="4:5" x14ac:dyDescent="0.25">
      <c r="D3992" s="2"/>
      <c r="E3992" s="2"/>
    </row>
    <row r="3993" spans="4:5" x14ac:dyDescent="0.25">
      <c r="D3993" s="2"/>
      <c r="E3993" s="2"/>
    </row>
    <row r="3994" spans="4:5" x14ac:dyDescent="0.25">
      <c r="D3994" s="2"/>
      <c r="E3994" s="2"/>
    </row>
    <row r="3995" spans="4:5" x14ac:dyDescent="0.25">
      <c r="D3995" s="2"/>
      <c r="E3995" s="2"/>
    </row>
    <row r="3996" spans="4:5" x14ac:dyDescent="0.25">
      <c r="D3996" s="2"/>
      <c r="E3996" s="2"/>
    </row>
    <row r="3997" spans="4:5" x14ac:dyDescent="0.25">
      <c r="D3997" s="2"/>
      <c r="E3997" s="2"/>
    </row>
    <row r="3998" spans="4:5" x14ac:dyDescent="0.25">
      <c r="D3998" s="2"/>
      <c r="E3998" s="2"/>
    </row>
    <row r="3999" spans="4:5" x14ac:dyDescent="0.25">
      <c r="D3999" s="2"/>
      <c r="E3999" s="2"/>
    </row>
    <row r="4000" spans="4:5" x14ac:dyDescent="0.25">
      <c r="D4000" s="2"/>
      <c r="E4000" s="2"/>
    </row>
    <row r="4001" spans="4:5" x14ac:dyDescent="0.25">
      <c r="D4001" s="2"/>
      <c r="E4001" s="2"/>
    </row>
    <row r="4002" spans="4:5" x14ac:dyDescent="0.25">
      <c r="D4002" s="2"/>
      <c r="E4002" s="2"/>
    </row>
    <row r="4003" spans="4:5" x14ac:dyDescent="0.25">
      <c r="D4003" s="2"/>
      <c r="E4003" s="2"/>
    </row>
    <row r="4004" spans="4:5" x14ac:dyDescent="0.25">
      <c r="D4004" s="2"/>
      <c r="E4004" s="2"/>
    </row>
    <row r="4005" spans="4:5" x14ac:dyDescent="0.25">
      <c r="D4005" s="2"/>
      <c r="E4005" s="2"/>
    </row>
    <row r="4006" spans="4:5" x14ac:dyDescent="0.25">
      <c r="D4006" s="2"/>
      <c r="E4006" s="2"/>
    </row>
    <row r="4007" spans="4:5" x14ac:dyDescent="0.25">
      <c r="D4007" s="2"/>
      <c r="E4007" s="2"/>
    </row>
    <row r="4008" spans="4:5" x14ac:dyDescent="0.25">
      <c r="D4008" s="2"/>
      <c r="E4008" s="2"/>
    </row>
    <row r="4009" spans="4:5" x14ac:dyDescent="0.25">
      <c r="D4009" s="2"/>
      <c r="E4009" s="2"/>
    </row>
    <row r="4010" spans="4:5" x14ac:dyDescent="0.25">
      <c r="D4010" s="2"/>
      <c r="E4010" s="2"/>
    </row>
    <row r="4011" spans="4:5" x14ac:dyDescent="0.25">
      <c r="D4011" s="2"/>
      <c r="E4011" s="2"/>
    </row>
    <row r="4012" spans="4:5" x14ac:dyDescent="0.25">
      <c r="D4012" s="2"/>
      <c r="E4012" s="2"/>
    </row>
    <row r="4013" spans="4:5" x14ac:dyDescent="0.25">
      <c r="D4013" s="2"/>
      <c r="E4013" s="2"/>
    </row>
    <row r="4014" spans="4:5" x14ac:dyDescent="0.25">
      <c r="D4014" s="2"/>
      <c r="E4014" s="2"/>
    </row>
    <row r="4015" spans="4:5" x14ac:dyDescent="0.25">
      <c r="D4015" s="2"/>
      <c r="E4015" s="2"/>
    </row>
    <row r="4016" spans="4:5" x14ac:dyDescent="0.25">
      <c r="D4016" s="2"/>
      <c r="E4016" s="2"/>
    </row>
    <row r="4017" spans="4:5" x14ac:dyDescent="0.25">
      <c r="D4017" s="2"/>
      <c r="E4017" s="2"/>
    </row>
    <row r="4018" spans="4:5" x14ac:dyDescent="0.25">
      <c r="D4018" s="2"/>
      <c r="E4018" s="2"/>
    </row>
    <row r="4019" spans="4:5" x14ac:dyDescent="0.25">
      <c r="D4019" s="2"/>
      <c r="E4019" s="2"/>
    </row>
    <row r="4020" spans="4:5" x14ac:dyDescent="0.25">
      <c r="D4020" s="2"/>
      <c r="E4020" s="2"/>
    </row>
    <row r="4021" spans="4:5" x14ac:dyDescent="0.25">
      <c r="D4021" s="2"/>
      <c r="E4021" s="2"/>
    </row>
    <row r="4022" spans="4:5" x14ac:dyDescent="0.25">
      <c r="D4022" s="2"/>
      <c r="E4022" s="2"/>
    </row>
    <row r="4023" spans="4:5" x14ac:dyDescent="0.25">
      <c r="D4023" s="2"/>
      <c r="E4023" s="2"/>
    </row>
    <row r="4024" spans="4:5" x14ac:dyDescent="0.25">
      <c r="D4024" s="2"/>
      <c r="E4024" s="2"/>
    </row>
    <row r="4025" spans="4:5" x14ac:dyDescent="0.25">
      <c r="D4025" s="2"/>
      <c r="E4025" s="2"/>
    </row>
    <row r="4026" spans="4:5" x14ac:dyDescent="0.25">
      <c r="D4026" s="2"/>
      <c r="E4026" s="2"/>
    </row>
    <row r="4027" spans="4:5" x14ac:dyDescent="0.25">
      <c r="D4027" s="2"/>
      <c r="E4027" s="2"/>
    </row>
    <row r="4028" spans="4:5" x14ac:dyDescent="0.25">
      <c r="D4028" s="2"/>
      <c r="E4028" s="2"/>
    </row>
    <row r="4029" spans="4:5" x14ac:dyDescent="0.25">
      <c r="D4029" s="2"/>
      <c r="E4029" s="2"/>
    </row>
    <row r="4030" spans="4:5" x14ac:dyDescent="0.25">
      <c r="D4030" s="2"/>
      <c r="E4030" s="2"/>
    </row>
    <row r="4031" spans="4:5" x14ac:dyDescent="0.25">
      <c r="D4031" s="2"/>
      <c r="E4031" s="2"/>
    </row>
    <row r="4032" spans="4:5" x14ac:dyDescent="0.25">
      <c r="D4032" s="2"/>
      <c r="E4032" s="2"/>
    </row>
    <row r="4033" spans="4:5" x14ac:dyDescent="0.25">
      <c r="D4033" s="2"/>
      <c r="E4033" s="2"/>
    </row>
    <row r="4034" spans="4:5" x14ac:dyDescent="0.25">
      <c r="D4034" s="2"/>
      <c r="E4034" s="2"/>
    </row>
    <row r="4035" spans="4:5" x14ac:dyDescent="0.25">
      <c r="D4035" s="2"/>
      <c r="E4035" s="2"/>
    </row>
    <row r="4036" spans="4:5" x14ac:dyDescent="0.25">
      <c r="D4036" s="2"/>
      <c r="E4036" s="2"/>
    </row>
    <row r="4037" spans="4:5" x14ac:dyDescent="0.25">
      <c r="D4037" s="2"/>
      <c r="E4037" s="2"/>
    </row>
    <row r="4038" spans="4:5" x14ac:dyDescent="0.25">
      <c r="D4038" s="2"/>
      <c r="E4038" s="2"/>
    </row>
    <row r="4039" spans="4:5" x14ac:dyDescent="0.25">
      <c r="D4039" s="2"/>
      <c r="E4039" s="2"/>
    </row>
    <row r="4040" spans="4:5" x14ac:dyDescent="0.25">
      <c r="D4040" s="2"/>
      <c r="E4040" s="2"/>
    </row>
    <row r="4041" spans="4:5" x14ac:dyDescent="0.25">
      <c r="D4041" s="2"/>
      <c r="E4041" s="2"/>
    </row>
    <row r="4042" spans="4:5" x14ac:dyDescent="0.25">
      <c r="D4042" s="2"/>
      <c r="E4042" s="2"/>
    </row>
    <row r="4043" spans="4:5" x14ac:dyDescent="0.25">
      <c r="D4043" s="2"/>
      <c r="E4043" s="2"/>
    </row>
    <row r="4044" spans="4:5" x14ac:dyDescent="0.25">
      <c r="D4044" s="2"/>
      <c r="E4044" s="2"/>
    </row>
    <row r="4045" spans="4:5" x14ac:dyDescent="0.25">
      <c r="D4045" s="2"/>
      <c r="E4045" s="2"/>
    </row>
    <row r="4046" spans="4:5" x14ac:dyDescent="0.25">
      <c r="D4046" s="2"/>
      <c r="E4046" s="2"/>
    </row>
    <row r="4047" spans="4:5" x14ac:dyDescent="0.25">
      <c r="D4047" s="2"/>
      <c r="E4047" s="2"/>
    </row>
    <row r="4048" spans="4:5" x14ac:dyDescent="0.25">
      <c r="D4048" s="2"/>
      <c r="E4048" s="2"/>
    </row>
    <row r="4049" spans="4:5" x14ac:dyDescent="0.25">
      <c r="D4049" s="2"/>
      <c r="E4049" s="2"/>
    </row>
    <row r="4050" spans="4:5" x14ac:dyDescent="0.25">
      <c r="D4050" s="2"/>
      <c r="E4050" s="2"/>
    </row>
    <row r="4051" spans="4:5" x14ac:dyDescent="0.25">
      <c r="D4051" s="2"/>
      <c r="E4051" s="2"/>
    </row>
    <row r="4052" spans="4:5" x14ac:dyDescent="0.25">
      <c r="D4052" s="2"/>
      <c r="E4052" s="2"/>
    </row>
    <row r="4053" spans="4:5" x14ac:dyDescent="0.25">
      <c r="D4053" s="2"/>
      <c r="E4053" s="2"/>
    </row>
    <row r="4054" spans="4:5" x14ac:dyDescent="0.25">
      <c r="D4054" s="2"/>
      <c r="E4054" s="2"/>
    </row>
    <row r="4055" spans="4:5" x14ac:dyDescent="0.25">
      <c r="D4055" s="2"/>
      <c r="E4055" s="2"/>
    </row>
    <row r="4056" spans="4:5" x14ac:dyDescent="0.25">
      <c r="D4056" s="2"/>
      <c r="E4056" s="2"/>
    </row>
    <row r="4057" spans="4:5" x14ac:dyDescent="0.25">
      <c r="D4057" s="2"/>
      <c r="E4057" s="2"/>
    </row>
    <row r="4058" spans="4:5" x14ac:dyDescent="0.25">
      <c r="D4058" s="2"/>
      <c r="E4058" s="2"/>
    </row>
    <row r="4059" spans="4:5" x14ac:dyDescent="0.25">
      <c r="D4059" s="2"/>
      <c r="E4059" s="2"/>
    </row>
    <row r="4060" spans="4:5" x14ac:dyDescent="0.25">
      <c r="D4060" s="2"/>
      <c r="E4060" s="2"/>
    </row>
    <row r="4061" spans="4:5" x14ac:dyDescent="0.25">
      <c r="D4061" s="2"/>
      <c r="E4061" s="2"/>
    </row>
    <row r="4062" spans="4:5" x14ac:dyDescent="0.25">
      <c r="D4062" s="2"/>
      <c r="E4062" s="2"/>
    </row>
    <row r="4063" spans="4:5" x14ac:dyDescent="0.25">
      <c r="D4063" s="2"/>
      <c r="E4063" s="2"/>
    </row>
    <row r="4064" spans="4:5" x14ac:dyDescent="0.25">
      <c r="D4064" s="2"/>
      <c r="E4064" s="2"/>
    </row>
    <row r="4065" spans="4:5" x14ac:dyDescent="0.25">
      <c r="D4065" s="2"/>
      <c r="E4065" s="2"/>
    </row>
    <row r="4066" spans="4:5" x14ac:dyDescent="0.25">
      <c r="D4066" s="2"/>
      <c r="E4066" s="2"/>
    </row>
    <row r="4067" spans="4:5" x14ac:dyDescent="0.25">
      <c r="D4067" s="2"/>
      <c r="E4067" s="2"/>
    </row>
    <row r="4068" spans="4:5" x14ac:dyDescent="0.25">
      <c r="D4068" s="2"/>
      <c r="E4068" s="2"/>
    </row>
    <row r="4069" spans="4:5" x14ac:dyDescent="0.25">
      <c r="D4069" s="2"/>
      <c r="E4069" s="2"/>
    </row>
    <row r="4070" spans="4:5" x14ac:dyDescent="0.25">
      <c r="D4070" s="2"/>
      <c r="E4070" s="2"/>
    </row>
    <row r="4071" spans="4:5" x14ac:dyDescent="0.25">
      <c r="D4071" s="2"/>
      <c r="E4071" s="2"/>
    </row>
    <row r="4072" spans="4:5" x14ac:dyDescent="0.25">
      <c r="D4072" s="2"/>
      <c r="E4072" s="2"/>
    </row>
    <row r="4073" spans="4:5" x14ac:dyDescent="0.25">
      <c r="D4073" s="2"/>
      <c r="E4073" s="2"/>
    </row>
    <row r="4074" spans="4:5" x14ac:dyDescent="0.25">
      <c r="D4074" s="2"/>
      <c r="E4074" s="2"/>
    </row>
    <row r="4075" spans="4:5" x14ac:dyDescent="0.25">
      <c r="D4075" s="2"/>
      <c r="E4075" s="2"/>
    </row>
    <row r="4076" spans="4:5" x14ac:dyDescent="0.25">
      <c r="D4076" s="2"/>
      <c r="E4076" s="2"/>
    </row>
    <row r="4077" spans="4:5" x14ac:dyDescent="0.25">
      <c r="D4077" s="2"/>
      <c r="E4077" s="2"/>
    </row>
    <row r="4078" spans="4:5" x14ac:dyDescent="0.25">
      <c r="D4078" s="2"/>
      <c r="E4078" s="2"/>
    </row>
    <row r="4079" spans="4:5" x14ac:dyDescent="0.25">
      <c r="D4079" s="2"/>
      <c r="E4079" s="2"/>
    </row>
    <row r="4080" spans="4:5" x14ac:dyDescent="0.25">
      <c r="D4080" s="2"/>
      <c r="E4080" s="2"/>
    </row>
    <row r="4081" spans="4:5" x14ac:dyDescent="0.25">
      <c r="D4081" s="2"/>
      <c r="E4081" s="2"/>
    </row>
    <row r="4082" spans="4:5" x14ac:dyDescent="0.25">
      <c r="D4082" s="2"/>
      <c r="E4082" s="2"/>
    </row>
    <row r="4083" spans="4:5" x14ac:dyDescent="0.25">
      <c r="D4083" s="2"/>
      <c r="E4083" s="2"/>
    </row>
    <row r="4084" spans="4:5" x14ac:dyDescent="0.25">
      <c r="D4084" s="2"/>
      <c r="E4084" s="2"/>
    </row>
    <row r="4085" spans="4:5" x14ac:dyDescent="0.25">
      <c r="D4085" s="2"/>
      <c r="E4085" s="2"/>
    </row>
    <row r="4086" spans="4:5" x14ac:dyDescent="0.25">
      <c r="D4086" s="2"/>
      <c r="E4086" s="2"/>
    </row>
    <row r="4087" spans="4:5" x14ac:dyDescent="0.25">
      <c r="D4087" s="2"/>
      <c r="E4087" s="2"/>
    </row>
    <row r="4088" spans="4:5" x14ac:dyDescent="0.25">
      <c r="D4088" s="2"/>
      <c r="E4088" s="2"/>
    </row>
    <row r="4089" spans="4:5" x14ac:dyDescent="0.25">
      <c r="D4089" s="2"/>
      <c r="E4089" s="2"/>
    </row>
    <row r="4090" spans="4:5" x14ac:dyDescent="0.25">
      <c r="D4090" s="2"/>
      <c r="E4090" s="2"/>
    </row>
    <row r="4091" spans="4:5" x14ac:dyDescent="0.25">
      <c r="D4091" s="2"/>
      <c r="E4091" s="2"/>
    </row>
    <row r="4092" spans="4:5" x14ac:dyDescent="0.25">
      <c r="D4092" s="2"/>
      <c r="E4092" s="2"/>
    </row>
    <row r="4093" spans="4:5" x14ac:dyDescent="0.25">
      <c r="D4093" s="2"/>
      <c r="E4093" s="2"/>
    </row>
    <row r="4094" spans="4:5" x14ac:dyDescent="0.25">
      <c r="D4094" s="2"/>
      <c r="E4094" s="2"/>
    </row>
    <row r="4095" spans="4:5" x14ac:dyDescent="0.25">
      <c r="D4095" s="2"/>
      <c r="E4095" s="2"/>
    </row>
    <row r="4096" spans="4:5" x14ac:dyDescent="0.25">
      <c r="D4096" s="2"/>
      <c r="E4096" s="2"/>
    </row>
    <row r="4097" spans="4:5" x14ac:dyDescent="0.25">
      <c r="D4097" s="2"/>
      <c r="E4097" s="2"/>
    </row>
    <row r="4098" spans="4:5" x14ac:dyDescent="0.25">
      <c r="D4098" s="2"/>
      <c r="E4098" s="2"/>
    </row>
    <row r="4099" spans="4:5" x14ac:dyDescent="0.25">
      <c r="D4099" s="2"/>
      <c r="E4099" s="2"/>
    </row>
    <row r="4100" spans="4:5" x14ac:dyDescent="0.25">
      <c r="D4100" s="2"/>
      <c r="E4100" s="2"/>
    </row>
    <row r="4101" spans="4:5" x14ac:dyDescent="0.25">
      <c r="D4101" s="2"/>
      <c r="E4101" s="2"/>
    </row>
    <row r="4102" spans="4:5" x14ac:dyDescent="0.25">
      <c r="D4102" s="2"/>
      <c r="E4102" s="2"/>
    </row>
    <row r="4103" spans="4:5" x14ac:dyDescent="0.25">
      <c r="D4103" s="2"/>
      <c r="E4103" s="2"/>
    </row>
    <row r="4104" spans="4:5" x14ac:dyDescent="0.25">
      <c r="D4104" s="2"/>
      <c r="E4104" s="2"/>
    </row>
    <row r="4105" spans="4:5" x14ac:dyDescent="0.25">
      <c r="D4105" s="2"/>
      <c r="E4105" s="2"/>
    </row>
    <row r="4106" spans="4:5" x14ac:dyDescent="0.25">
      <c r="D4106" s="2"/>
      <c r="E4106" s="2"/>
    </row>
    <row r="4107" spans="4:5" x14ac:dyDescent="0.25">
      <c r="D4107" s="2"/>
      <c r="E4107" s="2"/>
    </row>
    <row r="4108" spans="4:5" x14ac:dyDescent="0.25">
      <c r="D4108" s="2"/>
      <c r="E4108" s="2"/>
    </row>
    <row r="4109" spans="4:5" x14ac:dyDescent="0.25">
      <c r="D4109" s="2"/>
      <c r="E4109" s="2"/>
    </row>
    <row r="4110" spans="4:5" x14ac:dyDescent="0.25">
      <c r="D4110" s="2"/>
      <c r="E4110" s="2"/>
    </row>
    <row r="4111" spans="4:5" x14ac:dyDescent="0.25">
      <c r="D4111" s="2"/>
      <c r="E4111" s="2"/>
    </row>
    <row r="4112" spans="4:5" x14ac:dyDescent="0.25">
      <c r="D4112" s="2"/>
      <c r="E4112" s="2"/>
    </row>
    <row r="4113" spans="4:5" x14ac:dyDescent="0.25">
      <c r="D4113" s="2"/>
      <c r="E4113" s="2"/>
    </row>
    <row r="4114" spans="4:5" x14ac:dyDescent="0.25">
      <c r="D4114" s="2"/>
      <c r="E4114" s="2"/>
    </row>
    <row r="4115" spans="4:5" x14ac:dyDescent="0.25">
      <c r="D4115" s="2"/>
      <c r="E4115" s="2"/>
    </row>
    <row r="4116" spans="4:5" x14ac:dyDescent="0.25">
      <c r="D4116" s="2"/>
      <c r="E4116" s="2"/>
    </row>
    <row r="4117" spans="4:5" x14ac:dyDescent="0.25">
      <c r="D4117" s="2"/>
      <c r="E4117" s="2"/>
    </row>
    <row r="4118" spans="4:5" x14ac:dyDescent="0.25">
      <c r="D4118" s="2"/>
      <c r="E4118" s="2"/>
    </row>
    <row r="4119" spans="4:5" x14ac:dyDescent="0.25">
      <c r="D4119" s="2"/>
      <c r="E4119" s="2"/>
    </row>
    <row r="4120" spans="4:5" x14ac:dyDescent="0.25">
      <c r="D4120" s="2"/>
      <c r="E4120" s="2"/>
    </row>
    <row r="4121" spans="4:5" x14ac:dyDescent="0.25">
      <c r="D4121" s="2"/>
      <c r="E4121" s="2"/>
    </row>
    <row r="4122" spans="4:5" x14ac:dyDescent="0.25">
      <c r="D4122" s="2"/>
      <c r="E4122" s="2"/>
    </row>
    <row r="4123" spans="4:5" x14ac:dyDescent="0.25">
      <c r="D4123" s="2"/>
      <c r="E4123" s="2"/>
    </row>
    <row r="4124" spans="4:5" x14ac:dyDescent="0.25">
      <c r="D4124" s="2"/>
      <c r="E4124" s="2"/>
    </row>
    <row r="4125" spans="4:5" x14ac:dyDescent="0.25">
      <c r="D4125" s="2"/>
      <c r="E4125" s="2"/>
    </row>
    <row r="4126" spans="4:5" x14ac:dyDescent="0.25">
      <c r="D4126" s="2"/>
      <c r="E4126" s="2"/>
    </row>
    <row r="4127" spans="4:5" x14ac:dyDescent="0.25">
      <c r="D4127" s="2"/>
      <c r="E4127" s="2"/>
    </row>
    <row r="4128" spans="4:5" x14ac:dyDescent="0.25">
      <c r="D4128" s="2"/>
      <c r="E4128" s="2"/>
    </row>
    <row r="4129" spans="4:5" x14ac:dyDescent="0.25">
      <c r="D4129" s="2"/>
      <c r="E4129" s="2"/>
    </row>
    <row r="4130" spans="4:5" x14ac:dyDescent="0.25">
      <c r="D4130" s="2"/>
      <c r="E4130" s="2"/>
    </row>
    <row r="4131" spans="4:5" x14ac:dyDescent="0.25">
      <c r="D4131" s="2"/>
      <c r="E4131" s="2"/>
    </row>
    <row r="4132" spans="4:5" x14ac:dyDescent="0.25">
      <c r="D4132" s="2"/>
      <c r="E4132" s="2"/>
    </row>
    <row r="4133" spans="4:5" x14ac:dyDescent="0.25">
      <c r="D4133" s="2"/>
      <c r="E4133" s="2"/>
    </row>
    <row r="4134" spans="4:5" x14ac:dyDescent="0.25">
      <c r="D4134" s="2"/>
      <c r="E4134" s="2"/>
    </row>
    <row r="4135" spans="4:5" x14ac:dyDescent="0.25">
      <c r="D4135" s="2"/>
      <c r="E4135" s="2"/>
    </row>
    <row r="4136" spans="4:5" x14ac:dyDescent="0.25">
      <c r="D4136" s="2"/>
      <c r="E4136" s="2"/>
    </row>
    <row r="4137" spans="4:5" x14ac:dyDescent="0.25">
      <c r="D4137" s="2"/>
      <c r="E4137" s="2"/>
    </row>
    <row r="4138" spans="4:5" x14ac:dyDescent="0.25">
      <c r="D4138" s="2"/>
      <c r="E4138" s="2"/>
    </row>
    <row r="4139" spans="4:5" x14ac:dyDescent="0.25">
      <c r="D4139" s="2"/>
      <c r="E4139" s="2"/>
    </row>
    <row r="4140" spans="4:5" x14ac:dyDescent="0.25">
      <c r="D4140" s="2"/>
      <c r="E4140" s="2"/>
    </row>
    <row r="4141" spans="4:5" x14ac:dyDescent="0.25">
      <c r="D4141" s="2"/>
      <c r="E4141" s="2"/>
    </row>
    <row r="4142" spans="4:5" x14ac:dyDescent="0.25">
      <c r="D4142" s="2"/>
      <c r="E4142" s="2"/>
    </row>
    <row r="4143" spans="4:5" x14ac:dyDescent="0.25">
      <c r="D4143" s="2"/>
      <c r="E4143" s="2"/>
    </row>
    <row r="4144" spans="4:5" x14ac:dyDescent="0.25">
      <c r="D4144" s="2"/>
      <c r="E4144" s="2"/>
    </row>
    <row r="4145" spans="4:5" x14ac:dyDescent="0.25">
      <c r="D4145" s="2"/>
      <c r="E4145" s="2"/>
    </row>
    <row r="4146" spans="4:5" x14ac:dyDescent="0.25">
      <c r="D4146" s="2"/>
      <c r="E4146" s="2"/>
    </row>
    <row r="4147" spans="4:5" x14ac:dyDescent="0.25">
      <c r="D4147" s="2"/>
      <c r="E4147" s="2"/>
    </row>
    <row r="4148" spans="4:5" x14ac:dyDescent="0.25">
      <c r="D4148" s="2"/>
      <c r="E4148" s="2"/>
    </row>
    <row r="4149" spans="4:5" x14ac:dyDescent="0.25">
      <c r="D4149" s="2"/>
      <c r="E4149" s="2"/>
    </row>
    <row r="4150" spans="4:5" x14ac:dyDescent="0.25">
      <c r="D4150" s="2"/>
      <c r="E4150" s="2"/>
    </row>
    <row r="4151" spans="4:5" x14ac:dyDescent="0.25">
      <c r="D4151" s="2"/>
      <c r="E4151" s="2"/>
    </row>
    <row r="4152" spans="4:5" x14ac:dyDescent="0.25">
      <c r="D4152" s="2"/>
      <c r="E4152" s="2"/>
    </row>
    <row r="4153" spans="4:5" x14ac:dyDescent="0.25">
      <c r="D4153" s="2"/>
      <c r="E4153" s="2"/>
    </row>
    <row r="4154" spans="4:5" x14ac:dyDescent="0.25">
      <c r="D4154" s="2"/>
      <c r="E4154" s="2"/>
    </row>
    <row r="4155" spans="4:5" x14ac:dyDescent="0.25">
      <c r="D4155" s="2"/>
      <c r="E4155" s="2"/>
    </row>
    <row r="4156" spans="4:5" x14ac:dyDescent="0.25">
      <c r="D4156" s="2"/>
      <c r="E4156" s="2"/>
    </row>
    <row r="4157" spans="4:5" x14ac:dyDescent="0.25">
      <c r="D4157" s="2"/>
      <c r="E4157" s="2"/>
    </row>
    <row r="4158" spans="4:5" x14ac:dyDescent="0.25">
      <c r="D4158" s="2"/>
      <c r="E4158" s="2"/>
    </row>
    <row r="4159" spans="4:5" x14ac:dyDescent="0.25">
      <c r="D4159" s="2"/>
      <c r="E4159" s="2"/>
    </row>
    <row r="4160" spans="4:5" x14ac:dyDescent="0.25">
      <c r="D4160" s="2"/>
      <c r="E4160" s="2"/>
    </row>
    <row r="4161" spans="4:5" x14ac:dyDescent="0.25">
      <c r="D4161" s="2"/>
      <c r="E4161" s="2"/>
    </row>
    <row r="4162" spans="4:5" x14ac:dyDescent="0.25">
      <c r="D4162" s="2"/>
      <c r="E4162" s="2"/>
    </row>
    <row r="4163" spans="4:5" x14ac:dyDescent="0.25">
      <c r="D4163" s="2"/>
      <c r="E4163" s="2"/>
    </row>
    <row r="4164" spans="4:5" x14ac:dyDescent="0.25">
      <c r="D4164" s="2"/>
      <c r="E4164" s="2"/>
    </row>
    <row r="4165" spans="4:5" x14ac:dyDescent="0.25">
      <c r="D4165" s="2"/>
      <c r="E4165" s="2"/>
    </row>
    <row r="4166" spans="4:5" x14ac:dyDescent="0.25">
      <c r="D4166" s="2"/>
      <c r="E4166" s="2"/>
    </row>
    <row r="4167" spans="4:5" x14ac:dyDescent="0.25">
      <c r="D4167" s="2"/>
      <c r="E4167" s="2"/>
    </row>
    <row r="4168" spans="4:5" x14ac:dyDescent="0.25">
      <c r="D4168" s="2"/>
      <c r="E4168" s="2"/>
    </row>
    <row r="4169" spans="4:5" x14ac:dyDescent="0.25">
      <c r="D4169" s="2"/>
      <c r="E4169" s="2"/>
    </row>
    <row r="4170" spans="4:5" x14ac:dyDescent="0.25">
      <c r="D4170" s="2"/>
      <c r="E4170" s="2"/>
    </row>
    <row r="4171" spans="4:5" x14ac:dyDescent="0.25">
      <c r="D4171" s="2"/>
      <c r="E4171" s="2"/>
    </row>
    <row r="4172" spans="4:5" x14ac:dyDescent="0.25">
      <c r="D4172" s="2"/>
      <c r="E4172" s="2"/>
    </row>
    <row r="4173" spans="4:5" x14ac:dyDescent="0.25">
      <c r="D4173" s="2"/>
      <c r="E4173" s="2"/>
    </row>
    <row r="4174" spans="4:5" x14ac:dyDescent="0.25">
      <c r="D4174" s="2"/>
      <c r="E4174" s="2"/>
    </row>
    <row r="4175" spans="4:5" x14ac:dyDescent="0.25">
      <c r="D4175" s="2"/>
      <c r="E4175" s="2"/>
    </row>
    <row r="4176" spans="4:5" x14ac:dyDescent="0.25">
      <c r="D4176" s="2"/>
      <c r="E4176" s="2"/>
    </row>
    <row r="4177" spans="4:5" x14ac:dyDescent="0.25">
      <c r="D4177" s="2"/>
      <c r="E4177" s="2"/>
    </row>
    <row r="4178" spans="4:5" x14ac:dyDescent="0.25">
      <c r="D4178" s="2"/>
      <c r="E4178" s="2"/>
    </row>
    <row r="4179" spans="4:5" x14ac:dyDescent="0.25">
      <c r="D4179" s="2"/>
      <c r="E4179" s="2"/>
    </row>
    <row r="4180" spans="4:5" x14ac:dyDescent="0.25">
      <c r="D4180" s="2"/>
      <c r="E4180" s="2"/>
    </row>
    <row r="4181" spans="4:5" x14ac:dyDescent="0.25">
      <c r="D4181" s="2"/>
      <c r="E4181" s="2"/>
    </row>
    <row r="4182" spans="4:5" x14ac:dyDescent="0.25">
      <c r="D4182" s="2"/>
      <c r="E4182" s="2"/>
    </row>
    <row r="4183" spans="4:5" x14ac:dyDescent="0.25">
      <c r="D4183" s="2"/>
      <c r="E4183" s="2"/>
    </row>
    <row r="4184" spans="4:5" x14ac:dyDescent="0.25">
      <c r="D4184" s="2"/>
      <c r="E4184" s="2"/>
    </row>
    <row r="4185" spans="4:5" x14ac:dyDescent="0.25">
      <c r="D4185" s="2"/>
      <c r="E4185" s="2"/>
    </row>
    <row r="4186" spans="4:5" x14ac:dyDescent="0.25">
      <c r="D4186" s="2"/>
      <c r="E4186" s="2"/>
    </row>
    <row r="4187" spans="4:5" x14ac:dyDescent="0.25">
      <c r="D4187" s="2"/>
      <c r="E4187" s="2"/>
    </row>
    <row r="4188" spans="4:5" x14ac:dyDescent="0.25">
      <c r="D4188" s="2"/>
      <c r="E4188" s="2"/>
    </row>
    <row r="4189" spans="4:5" x14ac:dyDescent="0.25">
      <c r="D4189" s="2"/>
      <c r="E4189" s="2"/>
    </row>
    <row r="4190" spans="4:5" x14ac:dyDescent="0.25">
      <c r="D4190" s="2"/>
      <c r="E4190" s="2"/>
    </row>
    <row r="4191" spans="4:5" x14ac:dyDescent="0.25">
      <c r="D4191" s="2"/>
      <c r="E4191" s="2"/>
    </row>
    <row r="4192" spans="4:5" x14ac:dyDescent="0.25">
      <c r="D4192" s="2"/>
      <c r="E4192" s="2"/>
    </row>
    <row r="4193" spans="4:5" x14ac:dyDescent="0.25">
      <c r="D4193" s="2"/>
      <c r="E4193" s="2"/>
    </row>
    <row r="4194" spans="4:5" x14ac:dyDescent="0.25">
      <c r="D4194" s="2"/>
      <c r="E4194" s="2"/>
    </row>
    <row r="4195" spans="4:5" x14ac:dyDescent="0.25">
      <c r="D4195" s="2"/>
      <c r="E4195" s="2"/>
    </row>
    <row r="4196" spans="4:5" x14ac:dyDescent="0.25">
      <c r="D4196" s="2"/>
      <c r="E4196" s="2"/>
    </row>
    <row r="4197" spans="4:5" x14ac:dyDescent="0.25">
      <c r="D4197" s="2"/>
      <c r="E4197" s="2"/>
    </row>
    <row r="4198" spans="4:5" x14ac:dyDescent="0.25">
      <c r="D4198" s="2"/>
      <c r="E4198" s="2"/>
    </row>
    <row r="4199" spans="4:5" x14ac:dyDescent="0.25">
      <c r="D4199" s="2"/>
      <c r="E4199" s="2"/>
    </row>
    <row r="4200" spans="4:5" x14ac:dyDescent="0.25">
      <c r="D4200" s="2"/>
      <c r="E4200" s="2"/>
    </row>
    <row r="4201" spans="4:5" x14ac:dyDescent="0.25">
      <c r="D4201" s="2"/>
      <c r="E4201" s="2"/>
    </row>
    <row r="4202" spans="4:5" x14ac:dyDescent="0.25">
      <c r="D4202" s="2"/>
      <c r="E4202" s="2"/>
    </row>
    <row r="4203" spans="4:5" x14ac:dyDescent="0.25">
      <c r="D4203" s="2"/>
      <c r="E4203" s="2"/>
    </row>
    <row r="4204" spans="4:5" x14ac:dyDescent="0.25">
      <c r="D4204" s="2"/>
      <c r="E4204" s="2"/>
    </row>
    <row r="4205" spans="4:5" x14ac:dyDescent="0.25">
      <c r="D4205" s="2"/>
      <c r="E4205" s="2"/>
    </row>
    <row r="4206" spans="4:5" x14ac:dyDescent="0.25">
      <c r="D4206" s="2"/>
      <c r="E4206" s="2"/>
    </row>
    <row r="4207" spans="4:5" x14ac:dyDescent="0.25">
      <c r="D4207" s="2"/>
      <c r="E4207" s="2"/>
    </row>
    <row r="4208" spans="4:5" x14ac:dyDescent="0.25">
      <c r="D4208" s="2"/>
      <c r="E4208" s="2"/>
    </row>
    <row r="4209" spans="4:5" x14ac:dyDescent="0.25">
      <c r="D4209" s="2"/>
      <c r="E4209" s="2"/>
    </row>
    <row r="4210" spans="4:5" x14ac:dyDescent="0.25">
      <c r="D4210" s="2"/>
      <c r="E4210" s="2"/>
    </row>
    <row r="4211" spans="4:5" x14ac:dyDescent="0.25">
      <c r="D4211" s="2"/>
      <c r="E4211" s="2"/>
    </row>
    <row r="4212" spans="4:5" x14ac:dyDescent="0.25">
      <c r="D4212" s="2"/>
      <c r="E4212" s="2"/>
    </row>
    <row r="4213" spans="4:5" x14ac:dyDescent="0.25">
      <c r="D4213" s="2"/>
      <c r="E4213" s="2"/>
    </row>
    <row r="4214" spans="4:5" x14ac:dyDescent="0.25">
      <c r="D4214" s="2"/>
      <c r="E4214" s="2"/>
    </row>
    <row r="4215" spans="4:5" x14ac:dyDescent="0.25">
      <c r="D4215" s="2"/>
      <c r="E4215" s="2"/>
    </row>
    <row r="4216" spans="4:5" x14ac:dyDescent="0.25">
      <c r="D4216" s="2"/>
      <c r="E4216" s="2"/>
    </row>
    <row r="4217" spans="4:5" x14ac:dyDescent="0.25">
      <c r="D4217" s="2"/>
      <c r="E4217" s="2"/>
    </row>
    <row r="4218" spans="4:5" x14ac:dyDescent="0.25">
      <c r="D4218" s="2"/>
      <c r="E4218" s="2"/>
    </row>
    <row r="4219" spans="4:5" x14ac:dyDescent="0.25">
      <c r="D4219" s="2"/>
      <c r="E4219" s="2"/>
    </row>
    <row r="4220" spans="4:5" x14ac:dyDescent="0.25">
      <c r="D4220" s="2"/>
      <c r="E4220" s="2"/>
    </row>
    <row r="4221" spans="4:5" x14ac:dyDescent="0.25">
      <c r="D4221" s="2"/>
      <c r="E4221" s="2"/>
    </row>
    <row r="4222" spans="4:5" x14ac:dyDescent="0.25">
      <c r="D4222" s="2"/>
      <c r="E4222" s="2"/>
    </row>
    <row r="4223" spans="4:5" x14ac:dyDescent="0.25">
      <c r="D4223" s="2"/>
      <c r="E4223" s="2"/>
    </row>
    <row r="4224" spans="4:5" x14ac:dyDescent="0.25">
      <c r="D4224" s="2"/>
      <c r="E4224" s="2"/>
    </row>
    <row r="4225" spans="4:5" x14ac:dyDescent="0.25">
      <c r="D4225" s="2"/>
      <c r="E4225" s="2"/>
    </row>
    <row r="4226" spans="4:5" x14ac:dyDescent="0.25">
      <c r="D4226" s="2"/>
      <c r="E4226" s="2"/>
    </row>
    <row r="4227" spans="4:5" x14ac:dyDescent="0.25">
      <c r="D4227" s="2"/>
      <c r="E4227" s="2"/>
    </row>
    <row r="4228" spans="4:5" x14ac:dyDescent="0.25">
      <c r="D4228" s="2"/>
      <c r="E4228" s="2"/>
    </row>
    <row r="4229" spans="4:5" x14ac:dyDescent="0.25">
      <c r="D4229" s="2"/>
      <c r="E4229" s="2"/>
    </row>
    <row r="4230" spans="4:5" x14ac:dyDescent="0.25">
      <c r="D4230" s="2"/>
      <c r="E4230" s="2"/>
    </row>
    <row r="4231" spans="4:5" x14ac:dyDescent="0.25">
      <c r="D4231" s="2"/>
      <c r="E4231" s="2"/>
    </row>
    <row r="4232" spans="4:5" x14ac:dyDescent="0.25">
      <c r="D4232" s="2"/>
      <c r="E4232" s="2"/>
    </row>
    <row r="4233" spans="4:5" x14ac:dyDescent="0.25">
      <c r="D4233" s="2"/>
      <c r="E4233" s="2"/>
    </row>
    <row r="4234" spans="4:5" x14ac:dyDescent="0.25">
      <c r="D4234" s="2"/>
      <c r="E4234" s="2"/>
    </row>
    <row r="4235" spans="4:5" x14ac:dyDescent="0.25">
      <c r="D4235" s="2"/>
      <c r="E4235" s="2"/>
    </row>
    <row r="4236" spans="4:5" x14ac:dyDescent="0.25">
      <c r="D4236" s="2"/>
      <c r="E4236" s="2"/>
    </row>
    <row r="4237" spans="4:5" x14ac:dyDescent="0.25">
      <c r="D4237" s="2"/>
      <c r="E4237" s="2"/>
    </row>
    <row r="4238" spans="4:5" x14ac:dyDescent="0.25">
      <c r="D4238" s="2"/>
      <c r="E4238" s="2"/>
    </row>
    <row r="4239" spans="4:5" x14ac:dyDescent="0.25">
      <c r="D4239" s="2"/>
      <c r="E4239" s="2"/>
    </row>
    <row r="4240" spans="4:5" x14ac:dyDescent="0.25">
      <c r="D4240" s="2"/>
      <c r="E4240" s="2"/>
    </row>
    <row r="4241" spans="4:5" x14ac:dyDescent="0.25">
      <c r="D4241" s="2"/>
      <c r="E4241" s="2"/>
    </row>
    <row r="4242" spans="4:5" x14ac:dyDescent="0.25">
      <c r="D4242" s="2"/>
      <c r="E4242" s="2"/>
    </row>
    <row r="4243" spans="4:5" x14ac:dyDescent="0.25">
      <c r="D4243" s="2"/>
      <c r="E4243" s="2"/>
    </row>
    <row r="4244" spans="4:5" x14ac:dyDescent="0.25">
      <c r="D4244" s="2"/>
      <c r="E4244" s="2"/>
    </row>
    <row r="4245" spans="4:5" x14ac:dyDescent="0.25">
      <c r="D4245" s="2"/>
      <c r="E4245" s="2"/>
    </row>
    <row r="4246" spans="4:5" x14ac:dyDescent="0.25">
      <c r="D4246" s="2"/>
      <c r="E4246" s="2"/>
    </row>
    <row r="4247" spans="4:5" x14ac:dyDescent="0.25">
      <c r="D4247" s="2"/>
      <c r="E4247" s="2"/>
    </row>
    <row r="4248" spans="4:5" x14ac:dyDescent="0.25">
      <c r="D4248" s="2"/>
      <c r="E4248" s="2"/>
    </row>
    <row r="4249" spans="4:5" x14ac:dyDescent="0.25">
      <c r="D4249" s="2"/>
      <c r="E4249" s="2"/>
    </row>
    <row r="4250" spans="4:5" x14ac:dyDescent="0.25">
      <c r="D4250" s="2"/>
      <c r="E4250" s="2"/>
    </row>
    <row r="4251" spans="4:5" x14ac:dyDescent="0.25">
      <c r="D4251" s="2"/>
      <c r="E4251" s="2"/>
    </row>
    <row r="4252" spans="4:5" x14ac:dyDescent="0.25">
      <c r="D4252" s="2"/>
      <c r="E4252" s="2"/>
    </row>
    <row r="4253" spans="4:5" x14ac:dyDescent="0.25">
      <c r="D4253" s="2"/>
      <c r="E4253" s="2"/>
    </row>
    <row r="4254" spans="4:5" x14ac:dyDescent="0.25">
      <c r="D4254" s="2"/>
      <c r="E4254" s="2"/>
    </row>
    <row r="4255" spans="4:5" x14ac:dyDescent="0.25">
      <c r="D4255" s="2"/>
      <c r="E4255" s="2"/>
    </row>
    <row r="4256" spans="4:5" x14ac:dyDescent="0.25">
      <c r="D4256" s="2"/>
      <c r="E4256" s="2"/>
    </row>
    <row r="4257" spans="4:5" x14ac:dyDescent="0.25">
      <c r="D4257" s="2"/>
      <c r="E4257" s="2"/>
    </row>
    <row r="4258" spans="4:5" x14ac:dyDescent="0.25">
      <c r="D4258" s="2"/>
      <c r="E4258" s="2"/>
    </row>
    <row r="4259" spans="4:5" x14ac:dyDescent="0.25">
      <c r="D4259" s="2"/>
      <c r="E4259" s="2"/>
    </row>
    <row r="4260" spans="4:5" x14ac:dyDescent="0.25">
      <c r="D4260" s="2"/>
      <c r="E4260" s="2"/>
    </row>
    <row r="4261" spans="4:5" x14ac:dyDescent="0.25">
      <c r="D4261" s="2"/>
      <c r="E4261" s="2"/>
    </row>
    <row r="4262" spans="4:5" x14ac:dyDescent="0.25">
      <c r="D4262" s="2"/>
      <c r="E4262" s="2"/>
    </row>
    <row r="4263" spans="4:5" x14ac:dyDescent="0.25">
      <c r="D4263" s="2"/>
      <c r="E4263" s="2"/>
    </row>
    <row r="4264" spans="4:5" x14ac:dyDescent="0.25">
      <c r="D4264" s="2"/>
      <c r="E4264" s="2"/>
    </row>
    <row r="4265" spans="4:5" x14ac:dyDescent="0.25">
      <c r="D4265" s="2"/>
      <c r="E4265" s="2"/>
    </row>
    <row r="4266" spans="4:5" x14ac:dyDescent="0.25">
      <c r="D4266" s="2"/>
      <c r="E4266" s="2"/>
    </row>
    <row r="4267" spans="4:5" x14ac:dyDescent="0.25">
      <c r="D4267" s="2"/>
      <c r="E4267" s="2"/>
    </row>
    <row r="4268" spans="4:5" x14ac:dyDescent="0.25">
      <c r="D4268" s="2"/>
      <c r="E4268" s="2"/>
    </row>
    <row r="4269" spans="4:5" x14ac:dyDescent="0.25">
      <c r="D4269" s="2"/>
      <c r="E4269" s="2"/>
    </row>
    <row r="4270" spans="4:5" x14ac:dyDescent="0.25">
      <c r="D4270" s="2"/>
      <c r="E4270" s="2"/>
    </row>
    <row r="4271" spans="4:5" x14ac:dyDescent="0.25">
      <c r="D4271" s="2"/>
      <c r="E4271" s="2"/>
    </row>
    <row r="4272" spans="4:5" x14ac:dyDescent="0.25">
      <c r="D4272" s="2"/>
      <c r="E4272" s="2"/>
    </row>
    <row r="4273" spans="4:5" x14ac:dyDescent="0.25">
      <c r="D4273" s="2"/>
      <c r="E4273" s="2"/>
    </row>
    <row r="4274" spans="4:5" x14ac:dyDescent="0.25">
      <c r="D4274" s="2"/>
      <c r="E4274" s="2"/>
    </row>
    <row r="4275" spans="4:5" x14ac:dyDescent="0.25">
      <c r="D4275" s="2"/>
      <c r="E4275" s="2"/>
    </row>
    <row r="4276" spans="4:5" x14ac:dyDescent="0.25">
      <c r="D4276" s="2"/>
      <c r="E4276" s="2"/>
    </row>
    <row r="4277" spans="4:5" x14ac:dyDescent="0.25">
      <c r="D4277" s="2"/>
      <c r="E4277" s="2"/>
    </row>
    <row r="4278" spans="4:5" x14ac:dyDescent="0.25">
      <c r="D4278" s="2"/>
      <c r="E4278" s="2"/>
    </row>
    <row r="4279" spans="4:5" x14ac:dyDescent="0.25">
      <c r="D4279" s="2"/>
      <c r="E4279" s="2"/>
    </row>
    <row r="4280" spans="4:5" x14ac:dyDescent="0.25">
      <c r="D4280" s="2"/>
      <c r="E4280" s="2"/>
    </row>
    <row r="4281" spans="4:5" x14ac:dyDescent="0.25">
      <c r="D4281" s="2"/>
      <c r="E4281" s="2"/>
    </row>
    <row r="4282" spans="4:5" x14ac:dyDescent="0.25">
      <c r="D4282" s="2"/>
      <c r="E4282" s="2"/>
    </row>
    <row r="4283" spans="4:5" x14ac:dyDescent="0.25">
      <c r="D4283" s="2"/>
      <c r="E4283" s="2"/>
    </row>
    <row r="4284" spans="4:5" x14ac:dyDescent="0.25">
      <c r="D4284" s="2"/>
      <c r="E4284" s="2"/>
    </row>
    <row r="4285" spans="4:5" x14ac:dyDescent="0.25">
      <c r="D4285" s="2"/>
      <c r="E4285" s="2"/>
    </row>
    <row r="4286" spans="4:5" x14ac:dyDescent="0.25">
      <c r="D4286" s="2"/>
      <c r="E4286" s="2"/>
    </row>
    <row r="4287" spans="4:5" x14ac:dyDescent="0.25">
      <c r="D4287" s="2"/>
      <c r="E4287" s="2"/>
    </row>
    <row r="4288" spans="4:5" x14ac:dyDescent="0.25">
      <c r="D4288" s="2"/>
      <c r="E4288" s="2"/>
    </row>
    <row r="4289" spans="4:5" x14ac:dyDescent="0.25">
      <c r="D4289" s="2"/>
      <c r="E4289" s="2"/>
    </row>
    <row r="4290" spans="4:5" x14ac:dyDescent="0.25">
      <c r="D4290" s="2"/>
      <c r="E4290" s="2"/>
    </row>
    <row r="4291" spans="4:5" x14ac:dyDescent="0.25">
      <c r="D4291" s="2"/>
      <c r="E4291" s="2"/>
    </row>
    <row r="4292" spans="4:5" x14ac:dyDescent="0.25">
      <c r="D4292" s="2"/>
      <c r="E4292" s="2"/>
    </row>
    <row r="4293" spans="4:5" x14ac:dyDescent="0.25">
      <c r="D4293" s="2"/>
      <c r="E4293" s="2"/>
    </row>
    <row r="4294" spans="4:5" x14ac:dyDescent="0.25">
      <c r="D4294" s="2"/>
      <c r="E4294" s="2"/>
    </row>
    <row r="4295" spans="4:5" x14ac:dyDescent="0.25">
      <c r="D4295" s="2"/>
      <c r="E4295" s="2"/>
    </row>
    <row r="4296" spans="4:5" x14ac:dyDescent="0.25">
      <c r="D4296" s="2"/>
      <c r="E4296" s="2"/>
    </row>
    <row r="4297" spans="4:5" x14ac:dyDescent="0.25">
      <c r="D4297" s="2"/>
      <c r="E4297" s="2"/>
    </row>
    <row r="4298" spans="4:5" x14ac:dyDescent="0.25">
      <c r="D4298" s="2"/>
      <c r="E4298" s="2"/>
    </row>
    <row r="4299" spans="4:5" x14ac:dyDescent="0.25">
      <c r="D4299" s="2"/>
      <c r="E4299" s="2"/>
    </row>
    <row r="4300" spans="4:5" x14ac:dyDescent="0.25">
      <c r="D4300" s="2"/>
      <c r="E4300" s="2"/>
    </row>
    <row r="4301" spans="4:5" x14ac:dyDescent="0.25">
      <c r="D4301" s="2"/>
      <c r="E4301" s="2"/>
    </row>
    <row r="4302" spans="4:5" x14ac:dyDescent="0.25">
      <c r="D4302" s="2"/>
      <c r="E4302" s="2"/>
    </row>
    <row r="4303" spans="4:5" x14ac:dyDescent="0.25">
      <c r="D4303" s="2"/>
      <c r="E4303" s="2"/>
    </row>
    <row r="4304" spans="4:5" x14ac:dyDescent="0.25">
      <c r="D4304" s="2"/>
      <c r="E4304" s="2"/>
    </row>
    <row r="4305" spans="4:5" x14ac:dyDescent="0.25">
      <c r="D4305" s="2"/>
      <c r="E4305" s="2"/>
    </row>
    <row r="4306" spans="4:5" x14ac:dyDescent="0.25">
      <c r="D4306" s="2"/>
      <c r="E4306" s="2"/>
    </row>
    <row r="4307" spans="4:5" x14ac:dyDescent="0.25">
      <c r="D4307" s="2"/>
      <c r="E4307" s="2"/>
    </row>
    <row r="4308" spans="4:5" x14ac:dyDescent="0.25">
      <c r="D4308" s="2"/>
      <c r="E4308" s="2"/>
    </row>
    <row r="4309" spans="4:5" x14ac:dyDescent="0.25">
      <c r="D4309" s="2"/>
      <c r="E4309" s="2"/>
    </row>
    <row r="4310" spans="4:5" x14ac:dyDescent="0.25">
      <c r="D4310" s="2"/>
      <c r="E4310" s="2"/>
    </row>
    <row r="4311" spans="4:5" x14ac:dyDescent="0.25">
      <c r="D4311" s="2"/>
      <c r="E4311" s="2"/>
    </row>
    <row r="4312" spans="4:5" x14ac:dyDescent="0.25">
      <c r="D4312" s="2"/>
      <c r="E4312" s="2"/>
    </row>
    <row r="4313" spans="4:5" x14ac:dyDescent="0.25">
      <c r="D4313" s="2"/>
      <c r="E4313" s="2"/>
    </row>
    <row r="4314" spans="4:5" x14ac:dyDescent="0.25">
      <c r="D4314" s="2"/>
      <c r="E4314" s="2"/>
    </row>
    <row r="4315" spans="4:5" x14ac:dyDescent="0.25">
      <c r="D4315" s="2"/>
      <c r="E4315" s="2"/>
    </row>
    <row r="4316" spans="4:5" x14ac:dyDescent="0.25">
      <c r="D4316" s="2"/>
      <c r="E4316" s="2"/>
    </row>
    <row r="4317" spans="4:5" x14ac:dyDescent="0.25">
      <c r="D4317" s="2"/>
      <c r="E4317" s="2"/>
    </row>
    <row r="4318" spans="4:5" x14ac:dyDescent="0.25">
      <c r="D4318" s="2"/>
      <c r="E4318" s="2"/>
    </row>
    <row r="4319" spans="4:5" x14ac:dyDescent="0.25">
      <c r="D4319" s="2"/>
      <c r="E4319" s="2"/>
    </row>
    <row r="4320" spans="4:5" x14ac:dyDescent="0.25">
      <c r="D4320" s="2"/>
      <c r="E4320" s="2"/>
    </row>
    <row r="4321" spans="4:5" x14ac:dyDescent="0.25">
      <c r="D4321" s="2"/>
      <c r="E4321" s="2"/>
    </row>
    <row r="4322" spans="4:5" x14ac:dyDescent="0.25">
      <c r="D4322" s="2"/>
      <c r="E4322" s="2"/>
    </row>
    <row r="4323" spans="4:5" x14ac:dyDescent="0.25">
      <c r="D4323" s="2"/>
      <c r="E4323" s="2"/>
    </row>
    <row r="4324" spans="4:5" x14ac:dyDescent="0.25">
      <c r="D4324" s="2"/>
      <c r="E4324" s="2"/>
    </row>
    <row r="4325" spans="4:5" x14ac:dyDescent="0.25">
      <c r="D4325" s="2"/>
      <c r="E4325" s="2"/>
    </row>
    <row r="4326" spans="4:5" x14ac:dyDescent="0.25">
      <c r="D4326" s="2"/>
      <c r="E4326" s="2"/>
    </row>
    <row r="4327" spans="4:5" x14ac:dyDescent="0.25">
      <c r="D4327" s="2"/>
      <c r="E4327" s="2"/>
    </row>
    <row r="4328" spans="4:5" x14ac:dyDescent="0.25">
      <c r="D4328" s="2"/>
      <c r="E4328" s="2"/>
    </row>
    <row r="4329" spans="4:5" x14ac:dyDescent="0.25">
      <c r="D4329" s="2"/>
      <c r="E4329" s="2"/>
    </row>
    <row r="4330" spans="4:5" x14ac:dyDescent="0.25">
      <c r="D4330" s="2"/>
      <c r="E4330" s="2"/>
    </row>
    <row r="4331" spans="4:5" x14ac:dyDescent="0.25">
      <c r="D4331" s="2"/>
      <c r="E4331" s="2"/>
    </row>
    <row r="4332" spans="4:5" x14ac:dyDescent="0.25">
      <c r="D4332" s="2"/>
      <c r="E4332" s="2"/>
    </row>
    <row r="4333" spans="4:5" x14ac:dyDescent="0.25">
      <c r="D4333" s="2"/>
      <c r="E4333" s="2"/>
    </row>
    <row r="4334" spans="4:5" x14ac:dyDescent="0.25">
      <c r="D4334" s="2"/>
      <c r="E4334" s="2"/>
    </row>
    <row r="4335" spans="4:5" x14ac:dyDescent="0.25">
      <c r="D4335" s="2"/>
      <c r="E4335" s="2"/>
    </row>
    <row r="4336" spans="4:5" x14ac:dyDescent="0.25">
      <c r="D4336" s="2"/>
      <c r="E4336" s="2"/>
    </row>
    <row r="4337" spans="4:5" x14ac:dyDescent="0.25">
      <c r="D4337" s="2"/>
      <c r="E4337" s="2"/>
    </row>
    <row r="4338" spans="4:5" x14ac:dyDescent="0.25">
      <c r="D4338" s="2"/>
      <c r="E4338" s="2"/>
    </row>
    <row r="4339" spans="4:5" x14ac:dyDescent="0.25">
      <c r="D4339" s="2"/>
      <c r="E4339" s="2"/>
    </row>
    <row r="4340" spans="4:5" x14ac:dyDescent="0.25">
      <c r="D4340" s="2"/>
      <c r="E4340" s="2"/>
    </row>
    <row r="4341" spans="4:5" x14ac:dyDescent="0.25">
      <c r="D4341" s="2"/>
      <c r="E4341" s="2"/>
    </row>
    <row r="4342" spans="4:5" x14ac:dyDescent="0.25">
      <c r="D4342" s="2"/>
      <c r="E4342" s="2"/>
    </row>
    <row r="4343" spans="4:5" x14ac:dyDescent="0.25">
      <c r="D4343" s="2"/>
      <c r="E4343" s="2"/>
    </row>
    <row r="4344" spans="4:5" x14ac:dyDescent="0.25">
      <c r="D4344" s="2"/>
      <c r="E4344" s="2"/>
    </row>
    <row r="4345" spans="4:5" x14ac:dyDescent="0.25">
      <c r="D4345" s="2"/>
      <c r="E4345" s="2"/>
    </row>
    <row r="4346" spans="4:5" x14ac:dyDescent="0.25">
      <c r="D4346" s="2"/>
      <c r="E4346" s="2"/>
    </row>
    <row r="4347" spans="4:5" x14ac:dyDescent="0.25">
      <c r="D4347" s="2"/>
      <c r="E4347" s="2"/>
    </row>
    <row r="4348" spans="4:5" x14ac:dyDescent="0.25">
      <c r="D4348" s="2"/>
      <c r="E4348" s="2"/>
    </row>
    <row r="4349" spans="4:5" x14ac:dyDescent="0.25">
      <c r="D4349" s="2"/>
      <c r="E4349" s="2"/>
    </row>
    <row r="4350" spans="4:5" x14ac:dyDescent="0.25">
      <c r="D4350" s="2"/>
      <c r="E4350" s="2"/>
    </row>
    <row r="4351" spans="4:5" x14ac:dyDescent="0.25">
      <c r="D4351" s="2"/>
      <c r="E4351" s="2"/>
    </row>
    <row r="4352" spans="4:5" x14ac:dyDescent="0.25">
      <c r="D4352" s="2"/>
      <c r="E4352" s="2"/>
    </row>
    <row r="4353" spans="4:5" x14ac:dyDescent="0.25">
      <c r="D4353" s="2"/>
      <c r="E4353" s="2"/>
    </row>
    <row r="4354" spans="4:5" x14ac:dyDescent="0.25">
      <c r="D4354" s="2"/>
      <c r="E4354" s="2"/>
    </row>
    <row r="4355" spans="4:5" x14ac:dyDescent="0.25">
      <c r="D4355" s="2"/>
      <c r="E4355" s="2"/>
    </row>
    <row r="4356" spans="4:5" x14ac:dyDescent="0.25">
      <c r="D4356" s="2"/>
      <c r="E4356" s="2"/>
    </row>
    <row r="4357" spans="4:5" x14ac:dyDescent="0.25">
      <c r="D4357" s="2"/>
      <c r="E4357" s="2"/>
    </row>
    <row r="4358" spans="4:5" x14ac:dyDescent="0.25">
      <c r="D4358" s="2"/>
      <c r="E4358" s="2"/>
    </row>
    <row r="4359" spans="4:5" x14ac:dyDescent="0.25">
      <c r="D4359" s="2"/>
      <c r="E4359" s="2"/>
    </row>
    <row r="4360" spans="4:5" x14ac:dyDescent="0.25">
      <c r="D4360" s="2"/>
      <c r="E4360" s="2"/>
    </row>
    <row r="4361" spans="4:5" x14ac:dyDescent="0.25">
      <c r="D4361" s="2"/>
      <c r="E4361" s="2"/>
    </row>
    <row r="4362" spans="4:5" x14ac:dyDescent="0.25">
      <c r="D4362" s="2"/>
      <c r="E4362" s="2"/>
    </row>
    <row r="4363" spans="4:5" x14ac:dyDescent="0.25">
      <c r="D4363" s="2"/>
      <c r="E4363" s="2"/>
    </row>
    <row r="4364" spans="4:5" x14ac:dyDescent="0.25">
      <c r="D4364" s="2"/>
      <c r="E4364" s="2"/>
    </row>
    <row r="4365" spans="4:5" x14ac:dyDescent="0.25">
      <c r="D4365" s="2"/>
      <c r="E4365" s="2"/>
    </row>
    <row r="4366" spans="4:5" x14ac:dyDescent="0.25">
      <c r="D4366" s="2"/>
      <c r="E4366" s="2"/>
    </row>
    <row r="4367" spans="4:5" x14ac:dyDescent="0.25">
      <c r="D4367" s="2"/>
      <c r="E4367" s="2"/>
    </row>
    <row r="4368" spans="4:5" x14ac:dyDescent="0.25">
      <c r="D4368" s="2"/>
      <c r="E4368" s="2"/>
    </row>
    <row r="4369" spans="4:5" x14ac:dyDescent="0.25">
      <c r="D4369" s="2"/>
      <c r="E4369" s="2"/>
    </row>
    <row r="4370" spans="4:5" x14ac:dyDescent="0.25">
      <c r="D4370" s="2"/>
      <c r="E4370" s="2"/>
    </row>
    <row r="4371" spans="4:5" x14ac:dyDescent="0.25">
      <c r="D4371" s="2"/>
      <c r="E4371" s="2"/>
    </row>
    <row r="4372" spans="4:5" x14ac:dyDescent="0.25">
      <c r="D4372" s="2"/>
      <c r="E4372" s="2"/>
    </row>
    <row r="4373" spans="4:5" x14ac:dyDescent="0.25">
      <c r="D4373" s="2"/>
      <c r="E4373" s="2"/>
    </row>
    <row r="4374" spans="4:5" x14ac:dyDescent="0.25">
      <c r="D4374" s="2"/>
      <c r="E4374" s="2"/>
    </row>
    <row r="4375" spans="4:5" x14ac:dyDescent="0.25">
      <c r="D4375" s="2"/>
      <c r="E4375" s="2"/>
    </row>
    <row r="4376" spans="4:5" x14ac:dyDescent="0.25">
      <c r="D4376" s="2"/>
      <c r="E4376" s="2"/>
    </row>
    <row r="4377" spans="4:5" x14ac:dyDescent="0.25">
      <c r="D4377" s="2"/>
      <c r="E4377" s="2"/>
    </row>
    <row r="4378" spans="4:5" x14ac:dyDescent="0.25">
      <c r="D4378" s="2"/>
      <c r="E4378" s="2"/>
    </row>
    <row r="4379" spans="4:5" x14ac:dyDescent="0.25">
      <c r="D4379" s="2"/>
      <c r="E4379" s="2"/>
    </row>
    <row r="4380" spans="4:5" x14ac:dyDescent="0.25">
      <c r="D4380" s="2"/>
      <c r="E4380" s="2"/>
    </row>
    <row r="4381" spans="4:5" x14ac:dyDescent="0.25">
      <c r="D4381" s="2"/>
      <c r="E4381" s="2"/>
    </row>
    <row r="4382" spans="4:5" x14ac:dyDescent="0.25">
      <c r="D4382" s="2"/>
      <c r="E4382" s="2"/>
    </row>
    <row r="4383" spans="4:5" x14ac:dyDescent="0.25">
      <c r="D4383" s="2"/>
      <c r="E4383" s="2"/>
    </row>
    <row r="4384" spans="4:5" x14ac:dyDescent="0.25">
      <c r="D4384" s="2"/>
      <c r="E4384" s="2"/>
    </row>
    <row r="4385" spans="4:5" x14ac:dyDescent="0.25">
      <c r="D4385" s="2"/>
      <c r="E4385" s="2"/>
    </row>
    <row r="4386" spans="4:5" x14ac:dyDescent="0.25">
      <c r="D4386" s="2"/>
      <c r="E4386" s="2"/>
    </row>
    <row r="4387" spans="4:5" x14ac:dyDescent="0.25">
      <c r="D4387" s="2"/>
      <c r="E4387" s="2"/>
    </row>
    <row r="4388" spans="4:5" x14ac:dyDescent="0.25">
      <c r="D4388" s="2"/>
      <c r="E4388" s="2"/>
    </row>
    <row r="4389" spans="4:5" x14ac:dyDescent="0.25">
      <c r="D4389" s="2"/>
      <c r="E4389" s="2"/>
    </row>
    <row r="4390" spans="4:5" x14ac:dyDescent="0.25">
      <c r="D4390" s="2"/>
      <c r="E4390" s="2"/>
    </row>
    <row r="4391" spans="4:5" x14ac:dyDescent="0.25">
      <c r="D4391" s="2"/>
      <c r="E4391" s="2"/>
    </row>
    <row r="4392" spans="4:5" x14ac:dyDescent="0.25">
      <c r="D4392" s="2"/>
      <c r="E4392" s="2"/>
    </row>
    <row r="4393" spans="4:5" x14ac:dyDescent="0.25">
      <c r="D4393" s="2"/>
      <c r="E4393" s="2"/>
    </row>
    <row r="4394" spans="4:5" x14ac:dyDescent="0.25">
      <c r="D4394" s="2"/>
      <c r="E4394" s="2"/>
    </row>
    <row r="4395" spans="4:5" x14ac:dyDescent="0.25">
      <c r="D4395" s="2"/>
      <c r="E4395" s="2"/>
    </row>
    <row r="4396" spans="4:5" x14ac:dyDescent="0.25">
      <c r="D4396" s="2"/>
      <c r="E4396" s="2"/>
    </row>
    <row r="4397" spans="4:5" x14ac:dyDescent="0.25">
      <c r="D4397" s="2"/>
      <c r="E4397" s="2"/>
    </row>
    <row r="4398" spans="4:5" x14ac:dyDescent="0.25">
      <c r="D4398" s="2"/>
      <c r="E4398" s="2"/>
    </row>
    <row r="4399" spans="4:5" x14ac:dyDescent="0.25">
      <c r="D4399" s="2"/>
      <c r="E4399" s="2"/>
    </row>
    <row r="4400" spans="4:5" x14ac:dyDescent="0.25">
      <c r="D4400" s="2"/>
      <c r="E4400" s="2"/>
    </row>
    <row r="4401" spans="4:5" x14ac:dyDescent="0.25">
      <c r="D4401" s="2"/>
      <c r="E4401" s="2"/>
    </row>
    <row r="4402" spans="4:5" x14ac:dyDescent="0.25">
      <c r="D4402" s="2"/>
      <c r="E4402" s="2"/>
    </row>
    <row r="4403" spans="4:5" x14ac:dyDescent="0.25">
      <c r="D4403" s="2"/>
      <c r="E4403" s="2"/>
    </row>
    <row r="4404" spans="4:5" x14ac:dyDescent="0.25">
      <c r="D4404" s="2"/>
      <c r="E4404" s="2"/>
    </row>
    <row r="4405" spans="4:5" x14ac:dyDescent="0.25">
      <c r="D4405" s="2"/>
      <c r="E4405" s="2"/>
    </row>
    <row r="4406" spans="4:5" x14ac:dyDescent="0.25">
      <c r="D4406" s="2"/>
      <c r="E4406" s="2"/>
    </row>
    <row r="4407" spans="4:5" x14ac:dyDescent="0.25">
      <c r="D4407" s="2"/>
      <c r="E4407" s="2"/>
    </row>
    <row r="4408" spans="4:5" x14ac:dyDescent="0.25">
      <c r="D4408" s="2"/>
      <c r="E4408" s="2"/>
    </row>
    <row r="4409" spans="4:5" x14ac:dyDescent="0.25">
      <c r="D4409" s="2"/>
      <c r="E4409" s="2"/>
    </row>
    <row r="4410" spans="4:5" x14ac:dyDescent="0.25">
      <c r="D4410" s="2"/>
      <c r="E4410" s="2"/>
    </row>
    <row r="4411" spans="4:5" x14ac:dyDescent="0.25">
      <c r="D4411" s="2"/>
      <c r="E4411" s="2"/>
    </row>
    <row r="4412" spans="4:5" x14ac:dyDescent="0.25">
      <c r="D4412" s="2"/>
      <c r="E4412" s="2"/>
    </row>
    <row r="4413" spans="4:5" x14ac:dyDescent="0.25">
      <c r="D4413" s="2"/>
      <c r="E4413" s="2"/>
    </row>
    <row r="4414" spans="4:5" x14ac:dyDescent="0.25">
      <c r="D4414" s="2"/>
      <c r="E4414" s="2"/>
    </row>
    <row r="4415" spans="4:5" x14ac:dyDescent="0.25">
      <c r="D4415" s="2"/>
      <c r="E4415" s="2"/>
    </row>
    <row r="4416" spans="4:5" x14ac:dyDescent="0.25">
      <c r="D4416" s="2"/>
      <c r="E4416" s="2"/>
    </row>
    <row r="4417" spans="4:5" x14ac:dyDescent="0.25">
      <c r="D4417" s="2"/>
      <c r="E4417" s="2"/>
    </row>
    <row r="4418" spans="4:5" x14ac:dyDescent="0.25">
      <c r="D4418" s="2"/>
      <c r="E4418" s="2"/>
    </row>
    <row r="4419" spans="4:5" x14ac:dyDescent="0.25">
      <c r="D4419" s="2"/>
      <c r="E4419" s="2"/>
    </row>
    <row r="4420" spans="4:5" x14ac:dyDescent="0.25">
      <c r="D4420" s="2"/>
      <c r="E4420" s="2"/>
    </row>
    <row r="4421" spans="4:5" x14ac:dyDescent="0.25">
      <c r="D4421" s="2"/>
      <c r="E4421" s="2"/>
    </row>
    <row r="4422" spans="4:5" x14ac:dyDescent="0.25">
      <c r="D4422" s="2"/>
      <c r="E4422" s="2"/>
    </row>
    <row r="4423" spans="4:5" x14ac:dyDescent="0.25">
      <c r="D4423" s="2"/>
      <c r="E4423" s="2"/>
    </row>
    <row r="4424" spans="4:5" x14ac:dyDescent="0.25">
      <c r="D4424" s="2"/>
      <c r="E4424" s="2"/>
    </row>
    <row r="4425" spans="4:5" x14ac:dyDescent="0.25">
      <c r="D4425" s="2"/>
      <c r="E4425" s="2"/>
    </row>
    <row r="4426" spans="4:5" x14ac:dyDescent="0.25">
      <c r="D4426" s="2"/>
      <c r="E4426" s="2"/>
    </row>
    <row r="4427" spans="4:5" x14ac:dyDescent="0.25">
      <c r="D4427" s="2"/>
      <c r="E4427" s="2"/>
    </row>
    <row r="4428" spans="4:5" x14ac:dyDescent="0.25">
      <c r="D4428" s="2"/>
      <c r="E4428" s="2"/>
    </row>
    <row r="4429" spans="4:5" x14ac:dyDescent="0.25">
      <c r="D4429" s="2"/>
      <c r="E4429" s="2"/>
    </row>
    <row r="4430" spans="4:5" x14ac:dyDescent="0.25">
      <c r="D4430" s="2"/>
      <c r="E4430" s="2"/>
    </row>
    <row r="4431" spans="4:5" x14ac:dyDescent="0.25">
      <c r="D4431" s="2"/>
      <c r="E4431" s="2"/>
    </row>
    <row r="4432" spans="4:5" x14ac:dyDescent="0.25">
      <c r="D4432" s="2"/>
      <c r="E4432" s="2"/>
    </row>
    <row r="4433" spans="4:5" x14ac:dyDescent="0.25">
      <c r="D4433" s="2"/>
      <c r="E4433" s="2"/>
    </row>
    <row r="4434" spans="4:5" x14ac:dyDescent="0.25">
      <c r="D4434" s="2"/>
      <c r="E4434" s="2"/>
    </row>
    <row r="4435" spans="4:5" x14ac:dyDescent="0.25">
      <c r="D4435" s="2"/>
      <c r="E4435" s="2"/>
    </row>
    <row r="4436" spans="4:5" x14ac:dyDescent="0.25">
      <c r="D4436" s="2"/>
      <c r="E4436" s="2"/>
    </row>
    <row r="4437" spans="4:5" x14ac:dyDescent="0.25">
      <c r="D4437" s="2"/>
      <c r="E4437" s="2"/>
    </row>
    <row r="4438" spans="4:5" x14ac:dyDescent="0.25">
      <c r="D4438" s="2"/>
      <c r="E4438" s="2"/>
    </row>
    <row r="4439" spans="4:5" x14ac:dyDescent="0.25">
      <c r="D4439" s="2"/>
      <c r="E4439" s="2"/>
    </row>
    <row r="4440" spans="4:5" x14ac:dyDescent="0.25">
      <c r="D4440" s="2"/>
      <c r="E4440" s="2"/>
    </row>
    <row r="4441" spans="4:5" x14ac:dyDescent="0.25">
      <c r="D4441" s="2"/>
      <c r="E4441" s="2"/>
    </row>
    <row r="4442" spans="4:5" x14ac:dyDescent="0.25">
      <c r="D4442" s="2"/>
      <c r="E4442" s="2"/>
    </row>
    <row r="4443" spans="4:5" x14ac:dyDescent="0.25">
      <c r="D4443" s="2"/>
      <c r="E4443" s="2"/>
    </row>
    <row r="4444" spans="4:5" x14ac:dyDescent="0.25">
      <c r="D4444" s="2"/>
      <c r="E4444" s="2"/>
    </row>
    <row r="4445" spans="4:5" x14ac:dyDescent="0.25">
      <c r="D4445" s="2"/>
      <c r="E4445" s="2"/>
    </row>
    <row r="4446" spans="4:5" x14ac:dyDescent="0.25">
      <c r="D4446" s="2"/>
      <c r="E4446" s="2"/>
    </row>
    <row r="4447" spans="4:5" x14ac:dyDescent="0.25">
      <c r="D4447" s="2"/>
      <c r="E4447" s="2"/>
    </row>
    <row r="4448" spans="4:5" x14ac:dyDescent="0.25">
      <c r="D4448" s="2"/>
      <c r="E4448" s="2"/>
    </row>
    <row r="4449" spans="4:5" x14ac:dyDescent="0.25">
      <c r="D4449" s="2"/>
      <c r="E4449" s="2"/>
    </row>
    <row r="4450" spans="4:5" x14ac:dyDescent="0.25">
      <c r="D4450" s="2"/>
      <c r="E4450" s="2"/>
    </row>
    <row r="4451" spans="4:5" x14ac:dyDescent="0.25">
      <c r="D4451" s="2"/>
      <c r="E4451" s="2"/>
    </row>
    <row r="4452" spans="4:5" x14ac:dyDescent="0.25">
      <c r="D4452" s="2"/>
      <c r="E4452" s="2"/>
    </row>
    <row r="4453" spans="4:5" x14ac:dyDescent="0.25">
      <c r="D4453" s="2"/>
      <c r="E4453" s="2"/>
    </row>
    <row r="4454" spans="4:5" x14ac:dyDescent="0.25">
      <c r="D4454" s="2"/>
      <c r="E4454" s="2"/>
    </row>
    <row r="4455" spans="4:5" x14ac:dyDescent="0.25">
      <c r="D4455" s="2"/>
      <c r="E4455" s="2"/>
    </row>
    <row r="4456" spans="4:5" x14ac:dyDescent="0.25">
      <c r="D4456" s="2"/>
      <c r="E4456" s="2"/>
    </row>
    <row r="4457" spans="4:5" x14ac:dyDescent="0.25">
      <c r="D4457" s="2"/>
      <c r="E4457" s="2"/>
    </row>
    <row r="4458" spans="4:5" x14ac:dyDescent="0.25">
      <c r="D4458" s="2"/>
      <c r="E4458" s="2"/>
    </row>
    <row r="4459" spans="4:5" x14ac:dyDescent="0.25">
      <c r="D4459" s="2"/>
      <c r="E4459" s="2"/>
    </row>
    <row r="4460" spans="4:5" x14ac:dyDescent="0.25">
      <c r="D4460" s="2"/>
      <c r="E4460" s="2"/>
    </row>
    <row r="4461" spans="4:5" x14ac:dyDescent="0.25">
      <c r="D4461" s="2"/>
      <c r="E4461" s="2"/>
    </row>
    <row r="4462" spans="4:5" x14ac:dyDescent="0.25">
      <c r="D4462" s="2"/>
      <c r="E4462" s="2"/>
    </row>
    <row r="4463" spans="4:5" x14ac:dyDescent="0.25">
      <c r="D4463" s="2"/>
      <c r="E4463" s="2"/>
    </row>
    <row r="4464" spans="4:5" x14ac:dyDescent="0.25">
      <c r="D4464" s="2"/>
      <c r="E4464" s="2"/>
    </row>
    <row r="4465" spans="4:5" x14ac:dyDescent="0.25">
      <c r="D4465" s="2"/>
      <c r="E4465" s="2"/>
    </row>
    <row r="4466" spans="4:5" x14ac:dyDescent="0.25">
      <c r="D4466" s="2"/>
      <c r="E4466" s="2"/>
    </row>
    <row r="4467" spans="4:5" x14ac:dyDescent="0.25">
      <c r="D4467" s="2"/>
      <c r="E4467" s="2"/>
    </row>
    <row r="4468" spans="4:5" x14ac:dyDescent="0.25">
      <c r="D4468" s="2"/>
      <c r="E4468" s="2"/>
    </row>
    <row r="4469" spans="4:5" x14ac:dyDescent="0.25">
      <c r="D4469" s="2"/>
      <c r="E4469" s="2"/>
    </row>
    <row r="4470" spans="4:5" x14ac:dyDescent="0.25">
      <c r="D4470" s="2"/>
      <c r="E4470" s="2"/>
    </row>
    <row r="4471" spans="4:5" x14ac:dyDescent="0.25">
      <c r="D4471" s="2"/>
      <c r="E4471" s="2"/>
    </row>
    <row r="4472" spans="4:5" x14ac:dyDescent="0.25">
      <c r="D4472" s="2"/>
      <c r="E4472" s="2"/>
    </row>
    <row r="4473" spans="4:5" x14ac:dyDescent="0.25">
      <c r="D4473" s="2"/>
      <c r="E4473" s="2"/>
    </row>
    <row r="4474" spans="4:5" x14ac:dyDescent="0.25">
      <c r="D4474" s="2"/>
      <c r="E4474" s="2"/>
    </row>
    <row r="4475" spans="4:5" x14ac:dyDescent="0.25">
      <c r="D4475" s="2"/>
      <c r="E4475" s="2"/>
    </row>
    <row r="4476" spans="4:5" x14ac:dyDescent="0.25">
      <c r="D4476" s="2"/>
      <c r="E4476" s="2"/>
    </row>
    <row r="4477" spans="4:5" x14ac:dyDescent="0.25">
      <c r="D4477" s="2"/>
      <c r="E4477" s="2"/>
    </row>
    <row r="4478" spans="4:5" x14ac:dyDescent="0.25">
      <c r="D4478" s="2"/>
      <c r="E4478" s="2"/>
    </row>
    <row r="4479" spans="4:5" x14ac:dyDescent="0.25">
      <c r="D4479" s="2"/>
      <c r="E4479" s="2"/>
    </row>
    <row r="4480" spans="4:5" x14ac:dyDescent="0.25">
      <c r="D4480" s="2"/>
      <c r="E4480" s="2"/>
    </row>
    <row r="4481" spans="4:5" x14ac:dyDescent="0.25">
      <c r="D4481" s="2"/>
      <c r="E4481" s="2"/>
    </row>
    <row r="4482" spans="4:5" x14ac:dyDescent="0.25">
      <c r="D4482" s="2"/>
      <c r="E4482" s="2"/>
    </row>
    <row r="4483" spans="4:5" x14ac:dyDescent="0.25">
      <c r="D4483" s="2"/>
      <c r="E4483" s="2"/>
    </row>
    <row r="4484" spans="4:5" x14ac:dyDescent="0.25">
      <c r="D4484" s="2"/>
      <c r="E4484" s="2"/>
    </row>
    <row r="4485" spans="4:5" x14ac:dyDescent="0.25">
      <c r="D4485" s="2"/>
      <c r="E4485" s="2"/>
    </row>
    <row r="4486" spans="4:5" x14ac:dyDescent="0.25">
      <c r="D4486" s="2"/>
      <c r="E4486" s="2"/>
    </row>
    <row r="4487" spans="4:5" x14ac:dyDescent="0.25">
      <c r="D4487" s="2"/>
      <c r="E4487" s="2"/>
    </row>
    <row r="4488" spans="4:5" x14ac:dyDescent="0.25">
      <c r="D4488" s="2"/>
      <c r="E4488" s="2"/>
    </row>
    <row r="4489" spans="4:5" x14ac:dyDescent="0.25">
      <c r="D4489" s="2"/>
      <c r="E4489" s="2"/>
    </row>
    <row r="4490" spans="4:5" x14ac:dyDescent="0.25">
      <c r="D4490" s="2"/>
      <c r="E4490" s="2"/>
    </row>
    <row r="4491" spans="4:5" x14ac:dyDescent="0.25">
      <c r="D4491" s="2"/>
      <c r="E4491" s="2"/>
    </row>
    <row r="4492" spans="4:5" x14ac:dyDescent="0.25">
      <c r="D4492" s="2"/>
      <c r="E4492" s="2"/>
    </row>
    <row r="4493" spans="4:5" x14ac:dyDescent="0.25">
      <c r="D4493" s="2"/>
      <c r="E4493" s="2"/>
    </row>
    <row r="4494" spans="4:5" x14ac:dyDescent="0.25">
      <c r="D4494" s="2"/>
      <c r="E4494" s="2"/>
    </row>
    <row r="4495" spans="4:5" x14ac:dyDescent="0.25">
      <c r="D4495" s="2"/>
      <c r="E4495" s="2"/>
    </row>
    <row r="4496" spans="4:5" x14ac:dyDescent="0.25">
      <c r="D4496" s="2"/>
      <c r="E4496" s="2"/>
    </row>
    <row r="4497" spans="4:5" x14ac:dyDescent="0.25">
      <c r="D4497" s="2"/>
      <c r="E4497" s="2"/>
    </row>
    <row r="4498" spans="4:5" x14ac:dyDescent="0.25">
      <c r="D4498" s="2"/>
      <c r="E4498" s="2"/>
    </row>
    <row r="4499" spans="4:5" x14ac:dyDescent="0.25">
      <c r="D4499" s="2"/>
      <c r="E4499" s="2"/>
    </row>
    <row r="4500" spans="4:5" x14ac:dyDescent="0.25">
      <c r="D4500" s="2"/>
      <c r="E4500" s="2"/>
    </row>
    <row r="4501" spans="4:5" x14ac:dyDescent="0.25">
      <c r="D4501" s="2"/>
      <c r="E4501" s="2"/>
    </row>
    <row r="4502" spans="4:5" x14ac:dyDescent="0.25">
      <c r="D4502" s="2"/>
      <c r="E4502" s="2"/>
    </row>
    <row r="4503" spans="4:5" x14ac:dyDescent="0.25">
      <c r="D4503" s="2"/>
      <c r="E4503" s="2"/>
    </row>
    <row r="4504" spans="4:5" x14ac:dyDescent="0.25">
      <c r="D4504" s="2"/>
      <c r="E4504" s="2"/>
    </row>
    <row r="4505" spans="4:5" x14ac:dyDescent="0.25">
      <c r="D4505" s="2"/>
      <c r="E4505" s="2"/>
    </row>
    <row r="4506" spans="4:5" x14ac:dyDescent="0.25">
      <c r="D4506" s="2"/>
      <c r="E4506" s="2"/>
    </row>
    <row r="4507" spans="4:5" x14ac:dyDescent="0.25">
      <c r="D4507" s="2"/>
      <c r="E4507" s="2"/>
    </row>
    <row r="4508" spans="4:5" x14ac:dyDescent="0.25">
      <c r="D4508" s="2"/>
      <c r="E4508" s="2"/>
    </row>
    <row r="4509" spans="4:5" x14ac:dyDescent="0.25">
      <c r="D4509" s="2"/>
      <c r="E4509" s="2"/>
    </row>
    <row r="4510" spans="4:5" x14ac:dyDescent="0.25">
      <c r="D4510" s="2"/>
      <c r="E4510" s="2"/>
    </row>
    <row r="4511" spans="4:5" x14ac:dyDescent="0.25">
      <c r="D4511" s="2"/>
      <c r="E4511" s="2"/>
    </row>
    <row r="4512" spans="4:5" x14ac:dyDescent="0.25">
      <c r="D4512" s="2"/>
      <c r="E4512" s="2"/>
    </row>
    <row r="4513" spans="4:5" x14ac:dyDescent="0.25">
      <c r="D4513" s="2"/>
      <c r="E4513" s="2"/>
    </row>
    <row r="4514" spans="4:5" x14ac:dyDescent="0.25">
      <c r="D4514" s="2"/>
      <c r="E4514" s="2"/>
    </row>
    <row r="4515" spans="4:5" x14ac:dyDescent="0.25">
      <c r="D4515" s="2"/>
      <c r="E4515" s="2"/>
    </row>
    <row r="4516" spans="4:5" x14ac:dyDescent="0.25">
      <c r="D4516" s="2"/>
      <c r="E4516" s="2"/>
    </row>
    <row r="4517" spans="4:5" x14ac:dyDescent="0.25">
      <c r="D4517" s="2"/>
      <c r="E4517" s="2"/>
    </row>
    <row r="4518" spans="4:5" x14ac:dyDescent="0.25">
      <c r="D4518" s="2"/>
      <c r="E4518" s="2"/>
    </row>
    <row r="4519" spans="4:5" x14ac:dyDescent="0.25">
      <c r="D4519" s="2"/>
      <c r="E4519" s="2"/>
    </row>
    <row r="4520" spans="4:5" x14ac:dyDescent="0.25">
      <c r="D4520" s="2"/>
      <c r="E4520" s="2"/>
    </row>
    <row r="4521" spans="4:5" x14ac:dyDescent="0.25">
      <c r="D4521" s="2"/>
      <c r="E4521" s="2"/>
    </row>
    <row r="4522" spans="4:5" x14ac:dyDescent="0.25">
      <c r="D4522" s="2"/>
      <c r="E4522" s="2"/>
    </row>
    <row r="4523" spans="4:5" x14ac:dyDescent="0.25">
      <c r="D4523" s="2"/>
      <c r="E4523" s="2"/>
    </row>
    <row r="4524" spans="4:5" x14ac:dyDescent="0.25">
      <c r="D4524" s="2"/>
      <c r="E4524" s="2"/>
    </row>
    <row r="4525" spans="4:5" x14ac:dyDescent="0.25">
      <c r="D4525" s="2"/>
      <c r="E4525" s="2"/>
    </row>
    <row r="4526" spans="4:5" x14ac:dyDescent="0.25">
      <c r="D4526" s="2"/>
      <c r="E4526" s="2"/>
    </row>
    <row r="4527" spans="4:5" x14ac:dyDescent="0.25">
      <c r="D4527" s="2"/>
      <c r="E4527" s="2"/>
    </row>
    <row r="4528" spans="4:5" x14ac:dyDescent="0.25">
      <c r="D4528" s="2"/>
      <c r="E4528" s="2"/>
    </row>
    <row r="4529" spans="4:5" x14ac:dyDescent="0.25">
      <c r="D4529" s="2"/>
      <c r="E4529" s="2"/>
    </row>
    <row r="4530" spans="4:5" x14ac:dyDescent="0.25">
      <c r="D4530" s="2"/>
      <c r="E4530" s="2"/>
    </row>
    <row r="4531" spans="4:5" x14ac:dyDescent="0.25">
      <c r="D4531" s="2"/>
      <c r="E4531" s="2"/>
    </row>
    <row r="4532" spans="4:5" x14ac:dyDescent="0.25">
      <c r="D4532" s="2"/>
      <c r="E4532" s="2"/>
    </row>
    <row r="4533" spans="4:5" x14ac:dyDescent="0.25">
      <c r="D4533" s="2"/>
      <c r="E4533" s="2"/>
    </row>
    <row r="4534" spans="4:5" x14ac:dyDescent="0.25">
      <c r="D4534" s="2"/>
      <c r="E4534" s="2"/>
    </row>
    <row r="4535" spans="4:5" x14ac:dyDescent="0.25">
      <c r="D4535" s="2"/>
      <c r="E4535" s="2"/>
    </row>
    <row r="4536" spans="4:5" x14ac:dyDescent="0.25">
      <c r="D4536" s="2"/>
      <c r="E4536" s="2"/>
    </row>
    <row r="4537" spans="4:5" x14ac:dyDescent="0.25">
      <c r="D4537" s="2"/>
      <c r="E4537" s="2"/>
    </row>
    <row r="4538" spans="4:5" x14ac:dyDescent="0.25">
      <c r="D4538" s="2"/>
      <c r="E4538" s="2"/>
    </row>
    <row r="4539" spans="4:5" x14ac:dyDescent="0.25">
      <c r="D4539" s="2"/>
      <c r="E4539" s="2"/>
    </row>
    <row r="4540" spans="4:5" x14ac:dyDescent="0.25">
      <c r="D4540" s="2"/>
      <c r="E4540" s="2"/>
    </row>
    <row r="4541" spans="4:5" x14ac:dyDescent="0.25">
      <c r="D4541" s="2"/>
      <c r="E4541" s="2"/>
    </row>
    <row r="4542" spans="4:5" x14ac:dyDescent="0.25">
      <c r="D4542" s="2"/>
      <c r="E4542" s="2"/>
    </row>
    <row r="4543" spans="4:5" x14ac:dyDescent="0.25">
      <c r="D4543" s="2"/>
      <c r="E4543" s="2"/>
    </row>
    <row r="4544" spans="4:5" x14ac:dyDescent="0.25">
      <c r="D4544" s="2"/>
      <c r="E4544" s="2"/>
    </row>
    <row r="4545" spans="4:5" x14ac:dyDescent="0.25">
      <c r="D4545" s="2"/>
      <c r="E4545" s="2"/>
    </row>
    <row r="4546" spans="4:5" x14ac:dyDescent="0.25">
      <c r="D4546" s="2"/>
      <c r="E4546" s="2"/>
    </row>
    <row r="4547" spans="4:5" x14ac:dyDescent="0.25">
      <c r="D4547" s="2"/>
      <c r="E4547" s="2"/>
    </row>
    <row r="4548" spans="4:5" x14ac:dyDescent="0.25">
      <c r="D4548" s="2"/>
      <c r="E4548" s="2"/>
    </row>
    <row r="4549" spans="4:5" x14ac:dyDescent="0.25">
      <c r="D4549" s="2"/>
      <c r="E4549" s="2"/>
    </row>
    <row r="4550" spans="4:5" x14ac:dyDescent="0.25">
      <c r="D4550" s="2"/>
      <c r="E4550" s="2"/>
    </row>
    <row r="4551" spans="4:5" x14ac:dyDescent="0.25">
      <c r="D4551" s="2"/>
      <c r="E4551" s="2"/>
    </row>
    <row r="4552" spans="4:5" x14ac:dyDescent="0.25">
      <c r="D4552" s="2"/>
      <c r="E4552" s="2"/>
    </row>
    <row r="4553" spans="4:5" x14ac:dyDescent="0.25">
      <c r="D4553" s="2"/>
      <c r="E4553" s="2"/>
    </row>
    <row r="4554" spans="4:5" x14ac:dyDescent="0.25">
      <c r="D4554" s="2"/>
      <c r="E4554" s="2"/>
    </row>
    <row r="4555" spans="4:5" x14ac:dyDescent="0.25">
      <c r="D4555" s="2"/>
      <c r="E4555" s="2"/>
    </row>
    <row r="4556" spans="4:5" x14ac:dyDescent="0.25">
      <c r="D4556" s="2"/>
      <c r="E4556" s="2"/>
    </row>
    <row r="4557" spans="4:5" x14ac:dyDescent="0.25">
      <c r="D4557" s="2"/>
      <c r="E4557" s="2"/>
    </row>
    <row r="4558" spans="4:5" x14ac:dyDescent="0.25">
      <c r="D4558" s="2"/>
      <c r="E4558" s="2"/>
    </row>
    <row r="4559" spans="4:5" x14ac:dyDescent="0.25">
      <c r="D4559" s="2"/>
      <c r="E4559" s="2"/>
    </row>
    <row r="4560" spans="4:5" x14ac:dyDescent="0.25">
      <c r="D4560" s="2"/>
      <c r="E4560" s="2"/>
    </row>
    <row r="4561" spans="4:5" x14ac:dyDescent="0.25">
      <c r="D4561" s="2"/>
      <c r="E4561" s="2"/>
    </row>
    <row r="4562" spans="4:5" x14ac:dyDescent="0.25">
      <c r="D4562" s="2"/>
      <c r="E4562" s="2"/>
    </row>
    <row r="4563" spans="4:5" x14ac:dyDescent="0.25">
      <c r="D4563" s="2"/>
      <c r="E4563" s="2"/>
    </row>
    <row r="4564" spans="4:5" x14ac:dyDescent="0.25">
      <c r="D4564" s="2"/>
      <c r="E4564" s="2"/>
    </row>
    <row r="4565" spans="4:5" x14ac:dyDescent="0.25">
      <c r="D4565" s="2"/>
      <c r="E4565" s="2"/>
    </row>
    <row r="4566" spans="4:5" x14ac:dyDescent="0.25">
      <c r="D4566" s="2"/>
      <c r="E4566" s="2"/>
    </row>
    <row r="4567" spans="4:5" x14ac:dyDescent="0.25">
      <c r="D4567" s="2"/>
      <c r="E4567" s="2"/>
    </row>
    <row r="4568" spans="4:5" x14ac:dyDescent="0.25">
      <c r="D4568" s="2"/>
      <c r="E4568" s="2"/>
    </row>
    <row r="4569" spans="4:5" x14ac:dyDescent="0.25">
      <c r="D4569" s="2"/>
      <c r="E4569" s="2"/>
    </row>
    <row r="4570" spans="4:5" x14ac:dyDescent="0.25">
      <c r="D4570" s="2"/>
      <c r="E4570" s="2"/>
    </row>
    <row r="4571" spans="4:5" x14ac:dyDescent="0.25">
      <c r="D4571" s="2"/>
      <c r="E4571" s="2"/>
    </row>
    <row r="4572" spans="4:5" x14ac:dyDescent="0.25">
      <c r="D4572" s="2"/>
      <c r="E4572" s="2"/>
    </row>
    <row r="4573" spans="4:5" x14ac:dyDescent="0.25">
      <c r="D4573" s="2"/>
      <c r="E4573" s="2"/>
    </row>
    <row r="4574" spans="4:5" x14ac:dyDescent="0.25">
      <c r="D4574" s="2"/>
      <c r="E4574" s="2"/>
    </row>
    <row r="4575" spans="4:5" x14ac:dyDescent="0.25">
      <c r="D4575" s="2"/>
      <c r="E4575" s="2"/>
    </row>
    <row r="4576" spans="4:5" x14ac:dyDescent="0.25">
      <c r="D4576" s="2"/>
      <c r="E4576" s="2"/>
    </row>
    <row r="4577" spans="4:5" x14ac:dyDescent="0.25">
      <c r="D4577" s="2"/>
      <c r="E4577" s="2"/>
    </row>
    <row r="4578" spans="4:5" x14ac:dyDescent="0.25">
      <c r="D4578" s="2"/>
      <c r="E4578" s="2"/>
    </row>
    <row r="4579" spans="4:5" x14ac:dyDescent="0.25">
      <c r="D4579" s="2"/>
      <c r="E4579" s="2"/>
    </row>
    <row r="4580" spans="4:5" x14ac:dyDescent="0.25">
      <c r="D4580" s="2"/>
      <c r="E4580" s="2"/>
    </row>
    <row r="4581" spans="4:5" x14ac:dyDescent="0.25">
      <c r="D4581" s="2"/>
      <c r="E4581" s="2"/>
    </row>
    <row r="4582" spans="4:5" x14ac:dyDescent="0.25">
      <c r="D4582" s="2"/>
      <c r="E4582" s="2"/>
    </row>
    <row r="4583" spans="4:5" x14ac:dyDescent="0.25">
      <c r="D4583" s="2"/>
      <c r="E4583" s="2"/>
    </row>
    <row r="4584" spans="4:5" x14ac:dyDescent="0.25">
      <c r="D4584" s="2"/>
      <c r="E4584" s="2"/>
    </row>
    <row r="4585" spans="4:5" x14ac:dyDescent="0.25">
      <c r="D4585" s="2"/>
      <c r="E4585" s="2"/>
    </row>
    <row r="4586" spans="4:5" x14ac:dyDescent="0.25">
      <c r="D4586" s="2"/>
      <c r="E4586" s="2"/>
    </row>
    <row r="4587" spans="4:5" x14ac:dyDescent="0.25">
      <c r="D4587" s="2"/>
      <c r="E4587" s="2"/>
    </row>
    <row r="4588" spans="4:5" x14ac:dyDescent="0.25">
      <c r="D4588" s="2"/>
      <c r="E4588" s="2"/>
    </row>
    <row r="4589" spans="4:5" x14ac:dyDescent="0.25">
      <c r="D4589" s="2"/>
      <c r="E4589" s="2"/>
    </row>
    <row r="4590" spans="4:5" x14ac:dyDescent="0.25">
      <c r="D4590" s="2"/>
      <c r="E4590" s="2"/>
    </row>
    <row r="4591" spans="4:5" x14ac:dyDescent="0.25">
      <c r="D4591" s="2"/>
      <c r="E4591" s="2"/>
    </row>
    <row r="4592" spans="4:5" x14ac:dyDescent="0.25">
      <c r="D4592" s="2"/>
      <c r="E4592" s="2"/>
    </row>
    <row r="4593" spans="4:5" x14ac:dyDescent="0.25">
      <c r="D4593" s="2"/>
      <c r="E4593" s="2"/>
    </row>
    <row r="4594" spans="4:5" x14ac:dyDescent="0.25">
      <c r="D4594" s="2"/>
      <c r="E4594" s="2"/>
    </row>
    <row r="4595" spans="4:5" x14ac:dyDescent="0.25">
      <c r="D4595" s="2"/>
      <c r="E4595" s="2"/>
    </row>
    <row r="4596" spans="4:5" x14ac:dyDescent="0.25">
      <c r="D4596" s="2"/>
      <c r="E4596" s="2"/>
    </row>
    <row r="4597" spans="4:5" x14ac:dyDescent="0.25">
      <c r="D4597" s="2"/>
      <c r="E4597" s="2"/>
    </row>
    <row r="4598" spans="4:5" x14ac:dyDescent="0.25">
      <c r="D4598" s="2"/>
      <c r="E4598" s="2"/>
    </row>
    <row r="4599" spans="4:5" x14ac:dyDescent="0.25">
      <c r="D4599" s="2"/>
      <c r="E4599" s="2"/>
    </row>
    <row r="4600" spans="4:5" x14ac:dyDescent="0.25">
      <c r="D4600" s="2"/>
      <c r="E4600" s="2"/>
    </row>
    <row r="4601" spans="4:5" x14ac:dyDescent="0.25">
      <c r="D4601" s="2"/>
      <c r="E4601" s="2"/>
    </row>
    <row r="4602" spans="4:5" x14ac:dyDescent="0.25">
      <c r="D4602" s="2"/>
      <c r="E4602" s="2"/>
    </row>
    <row r="4603" spans="4:5" x14ac:dyDescent="0.25">
      <c r="D4603" s="2"/>
      <c r="E4603" s="2"/>
    </row>
    <row r="4604" spans="4:5" x14ac:dyDescent="0.25">
      <c r="D4604" s="2"/>
      <c r="E4604" s="2"/>
    </row>
    <row r="4605" spans="4:5" x14ac:dyDescent="0.25">
      <c r="D4605" s="2"/>
      <c r="E4605" s="2"/>
    </row>
    <row r="4606" spans="4:5" x14ac:dyDescent="0.25">
      <c r="D4606" s="2"/>
      <c r="E4606" s="2"/>
    </row>
    <row r="4607" spans="4:5" x14ac:dyDescent="0.25">
      <c r="D4607" s="2"/>
      <c r="E4607" s="2"/>
    </row>
    <row r="4608" spans="4:5" x14ac:dyDescent="0.25">
      <c r="D4608" s="2"/>
      <c r="E4608" s="2"/>
    </row>
    <row r="4609" spans="4:5" x14ac:dyDescent="0.25">
      <c r="D4609" s="2"/>
      <c r="E4609" s="2"/>
    </row>
    <row r="4610" spans="4:5" x14ac:dyDescent="0.25">
      <c r="D4610" s="2"/>
      <c r="E4610" s="2"/>
    </row>
    <row r="4611" spans="4:5" x14ac:dyDescent="0.25">
      <c r="D4611" s="2"/>
      <c r="E4611" s="2"/>
    </row>
    <row r="4612" spans="4:5" x14ac:dyDescent="0.25">
      <c r="D4612" s="2"/>
      <c r="E4612" s="2"/>
    </row>
    <row r="4613" spans="4:5" x14ac:dyDescent="0.25">
      <c r="D4613" s="2"/>
      <c r="E4613" s="2"/>
    </row>
    <row r="4614" spans="4:5" x14ac:dyDescent="0.25">
      <c r="D4614" s="2"/>
      <c r="E4614" s="2"/>
    </row>
    <row r="4615" spans="4:5" x14ac:dyDescent="0.25">
      <c r="D4615" s="2"/>
      <c r="E4615" s="2"/>
    </row>
    <row r="4616" spans="4:5" x14ac:dyDescent="0.25">
      <c r="D4616" s="2"/>
      <c r="E4616" s="2"/>
    </row>
    <row r="4617" spans="4:5" x14ac:dyDescent="0.25">
      <c r="D4617" s="2"/>
      <c r="E4617" s="2"/>
    </row>
    <row r="4618" spans="4:5" x14ac:dyDescent="0.25">
      <c r="D4618" s="2"/>
      <c r="E4618" s="2"/>
    </row>
    <row r="4619" spans="4:5" x14ac:dyDescent="0.25">
      <c r="D4619" s="2"/>
      <c r="E4619" s="2"/>
    </row>
    <row r="4620" spans="4:5" x14ac:dyDescent="0.25">
      <c r="D4620" s="2"/>
      <c r="E4620" s="2"/>
    </row>
    <row r="4621" spans="4:5" x14ac:dyDescent="0.25">
      <c r="D4621" s="2"/>
      <c r="E4621" s="2"/>
    </row>
    <row r="4622" spans="4:5" x14ac:dyDescent="0.25">
      <c r="D4622" s="2"/>
      <c r="E4622" s="2"/>
    </row>
    <row r="4623" spans="4:5" x14ac:dyDescent="0.25">
      <c r="D4623" s="2"/>
      <c r="E4623" s="2"/>
    </row>
    <row r="4624" spans="4:5" x14ac:dyDescent="0.25">
      <c r="D4624" s="2"/>
      <c r="E4624" s="2"/>
    </row>
    <row r="4625" spans="4:5" x14ac:dyDescent="0.25">
      <c r="D4625" s="2"/>
      <c r="E4625" s="2"/>
    </row>
    <row r="4626" spans="4:5" x14ac:dyDescent="0.25">
      <c r="D4626" s="2"/>
      <c r="E4626" s="2"/>
    </row>
    <row r="4627" spans="4:5" x14ac:dyDescent="0.25">
      <c r="D4627" s="2"/>
      <c r="E4627" s="2"/>
    </row>
    <row r="4628" spans="4:5" x14ac:dyDescent="0.25">
      <c r="D4628" s="2"/>
      <c r="E4628" s="2"/>
    </row>
    <row r="4629" spans="4:5" x14ac:dyDescent="0.25">
      <c r="D4629" s="2"/>
      <c r="E4629" s="2"/>
    </row>
    <row r="4630" spans="4:5" x14ac:dyDescent="0.25">
      <c r="D4630" s="2"/>
      <c r="E4630" s="2"/>
    </row>
    <row r="4631" spans="4:5" x14ac:dyDescent="0.25">
      <c r="D4631" s="2"/>
      <c r="E4631" s="2"/>
    </row>
    <row r="4632" spans="4:5" x14ac:dyDescent="0.25">
      <c r="D4632" s="2"/>
      <c r="E4632" s="2"/>
    </row>
    <row r="4633" spans="4:5" x14ac:dyDescent="0.25">
      <c r="D4633" s="2"/>
      <c r="E4633" s="2"/>
    </row>
    <row r="4634" spans="4:5" x14ac:dyDescent="0.25">
      <c r="D4634" s="2"/>
      <c r="E4634" s="2"/>
    </row>
    <row r="4635" spans="4:5" x14ac:dyDescent="0.25">
      <c r="D4635" s="2"/>
      <c r="E4635" s="2"/>
    </row>
    <row r="4636" spans="4:5" x14ac:dyDescent="0.25">
      <c r="D4636" s="2"/>
      <c r="E4636" s="2"/>
    </row>
    <row r="4637" spans="4:5" x14ac:dyDescent="0.25">
      <c r="D4637" s="2"/>
      <c r="E4637" s="2"/>
    </row>
    <row r="4638" spans="4:5" x14ac:dyDescent="0.25">
      <c r="D4638" s="2"/>
      <c r="E4638" s="2"/>
    </row>
    <row r="4639" spans="4:5" x14ac:dyDescent="0.25">
      <c r="D4639" s="2"/>
      <c r="E4639" s="2"/>
    </row>
    <row r="4640" spans="4:5" x14ac:dyDescent="0.25">
      <c r="D4640" s="2"/>
      <c r="E4640" s="2"/>
    </row>
    <row r="4641" spans="4:5" x14ac:dyDescent="0.25">
      <c r="D4641" s="2"/>
      <c r="E4641" s="2"/>
    </row>
    <row r="4642" spans="4:5" x14ac:dyDescent="0.25">
      <c r="D4642" s="2"/>
      <c r="E4642" s="2"/>
    </row>
    <row r="4643" spans="4:5" x14ac:dyDescent="0.25">
      <c r="D4643" s="2"/>
      <c r="E4643" s="2"/>
    </row>
    <row r="4644" spans="4:5" x14ac:dyDescent="0.25">
      <c r="D4644" s="2"/>
      <c r="E4644" s="2"/>
    </row>
    <row r="4645" spans="4:5" x14ac:dyDescent="0.25">
      <c r="D4645" s="2"/>
      <c r="E4645" s="2"/>
    </row>
    <row r="4646" spans="4:5" x14ac:dyDescent="0.25">
      <c r="D4646" s="2"/>
      <c r="E4646" s="2"/>
    </row>
    <row r="4647" spans="4:5" x14ac:dyDescent="0.25">
      <c r="D4647" s="2"/>
      <c r="E4647" s="2"/>
    </row>
    <row r="4648" spans="4:5" x14ac:dyDescent="0.25">
      <c r="D4648" s="2"/>
      <c r="E4648" s="2"/>
    </row>
    <row r="4649" spans="4:5" x14ac:dyDescent="0.25">
      <c r="D4649" s="2"/>
      <c r="E4649" s="2"/>
    </row>
    <row r="4650" spans="4:5" x14ac:dyDescent="0.25">
      <c r="D4650" s="2"/>
      <c r="E4650" s="2"/>
    </row>
    <row r="4651" spans="4:5" x14ac:dyDescent="0.25">
      <c r="D4651" s="2"/>
      <c r="E4651" s="2"/>
    </row>
    <row r="4652" spans="4:5" x14ac:dyDescent="0.25">
      <c r="D4652" s="2"/>
      <c r="E4652" s="2"/>
    </row>
    <row r="4653" spans="4:5" x14ac:dyDescent="0.25">
      <c r="D4653" s="2"/>
      <c r="E4653" s="2"/>
    </row>
    <row r="4654" spans="4:5" x14ac:dyDescent="0.25">
      <c r="D4654" s="2"/>
      <c r="E4654" s="2"/>
    </row>
    <row r="4655" spans="4:5" x14ac:dyDescent="0.25">
      <c r="D4655" s="2"/>
      <c r="E4655" s="2"/>
    </row>
    <row r="4656" spans="4:5" x14ac:dyDescent="0.25">
      <c r="D4656" s="2"/>
      <c r="E4656" s="2"/>
    </row>
    <row r="4657" spans="4:5" x14ac:dyDescent="0.25">
      <c r="D4657" s="2"/>
      <c r="E4657" s="2"/>
    </row>
    <row r="4658" spans="4:5" x14ac:dyDescent="0.25">
      <c r="D4658" s="2"/>
      <c r="E4658" s="2"/>
    </row>
    <row r="4659" spans="4:5" x14ac:dyDescent="0.25">
      <c r="D4659" s="2"/>
      <c r="E4659" s="2"/>
    </row>
    <row r="4660" spans="4:5" x14ac:dyDescent="0.25">
      <c r="D4660" s="2"/>
      <c r="E4660" s="2"/>
    </row>
    <row r="4661" spans="4:5" x14ac:dyDescent="0.25">
      <c r="D4661" s="2"/>
      <c r="E4661" s="2"/>
    </row>
    <row r="4662" spans="4:5" x14ac:dyDescent="0.25">
      <c r="D4662" s="2"/>
      <c r="E4662" s="2"/>
    </row>
    <row r="4663" spans="4:5" x14ac:dyDescent="0.25">
      <c r="D4663" s="2"/>
      <c r="E4663" s="2"/>
    </row>
    <row r="4664" spans="4:5" x14ac:dyDescent="0.25">
      <c r="D4664" s="2"/>
      <c r="E4664" s="2"/>
    </row>
    <row r="4665" spans="4:5" x14ac:dyDescent="0.25">
      <c r="D4665" s="2"/>
      <c r="E4665" s="2"/>
    </row>
    <row r="4666" spans="4:5" x14ac:dyDescent="0.25">
      <c r="D4666" s="2"/>
      <c r="E4666" s="2"/>
    </row>
    <row r="4667" spans="4:5" x14ac:dyDescent="0.25">
      <c r="D4667" s="2"/>
      <c r="E4667" s="2"/>
    </row>
    <row r="4668" spans="4:5" x14ac:dyDescent="0.25">
      <c r="D4668" s="2"/>
      <c r="E4668" s="2"/>
    </row>
    <row r="4669" spans="4:5" x14ac:dyDescent="0.25">
      <c r="D4669" s="2"/>
      <c r="E4669" s="2"/>
    </row>
    <row r="4670" spans="4:5" x14ac:dyDescent="0.25">
      <c r="D4670" s="2"/>
      <c r="E4670" s="2"/>
    </row>
    <row r="4671" spans="4:5" x14ac:dyDescent="0.25">
      <c r="D4671" s="2"/>
      <c r="E4671" s="2"/>
    </row>
    <row r="4672" spans="4:5" x14ac:dyDescent="0.25">
      <c r="D4672" s="2"/>
      <c r="E4672" s="2"/>
    </row>
    <row r="4673" spans="4:5" x14ac:dyDescent="0.25">
      <c r="D4673" s="2"/>
      <c r="E4673" s="2"/>
    </row>
    <row r="4674" spans="4:5" x14ac:dyDescent="0.25">
      <c r="D4674" s="2"/>
      <c r="E4674" s="2"/>
    </row>
    <row r="4675" spans="4:5" x14ac:dyDescent="0.25">
      <c r="D4675" s="2"/>
      <c r="E4675" s="2"/>
    </row>
    <row r="4676" spans="4:5" x14ac:dyDescent="0.25">
      <c r="D4676" s="2"/>
      <c r="E4676" s="2"/>
    </row>
    <row r="4677" spans="4:5" x14ac:dyDescent="0.25">
      <c r="D4677" s="2"/>
      <c r="E4677" s="2"/>
    </row>
    <row r="4678" spans="4:5" x14ac:dyDescent="0.25">
      <c r="D4678" s="2"/>
      <c r="E4678" s="2"/>
    </row>
    <row r="4679" spans="4:5" x14ac:dyDescent="0.25">
      <c r="D4679" s="2"/>
      <c r="E4679" s="2"/>
    </row>
    <row r="4680" spans="4:5" x14ac:dyDescent="0.25">
      <c r="D4680" s="2"/>
      <c r="E4680" s="2"/>
    </row>
    <row r="4681" spans="4:5" x14ac:dyDescent="0.25">
      <c r="D4681" s="2"/>
      <c r="E4681" s="2"/>
    </row>
    <row r="4682" spans="4:5" x14ac:dyDescent="0.25">
      <c r="D4682" s="2"/>
      <c r="E4682" s="2"/>
    </row>
    <row r="4683" spans="4:5" x14ac:dyDescent="0.25">
      <c r="D4683" s="2"/>
      <c r="E4683" s="2"/>
    </row>
    <row r="4684" spans="4:5" x14ac:dyDescent="0.25">
      <c r="D4684" s="2"/>
      <c r="E4684" s="2"/>
    </row>
    <row r="4685" spans="4:5" x14ac:dyDescent="0.25">
      <c r="D4685" s="2"/>
      <c r="E4685" s="2"/>
    </row>
    <row r="4686" spans="4:5" x14ac:dyDescent="0.25">
      <c r="D4686" s="2"/>
      <c r="E4686" s="2"/>
    </row>
    <row r="4687" spans="4:5" x14ac:dyDescent="0.25">
      <c r="D4687" s="2"/>
      <c r="E4687" s="2"/>
    </row>
    <row r="4688" spans="4:5" x14ac:dyDescent="0.25">
      <c r="D4688" s="2"/>
      <c r="E4688" s="2"/>
    </row>
    <row r="4689" spans="4:5" x14ac:dyDescent="0.25">
      <c r="D4689" s="2"/>
      <c r="E4689" s="2"/>
    </row>
    <row r="4690" spans="4:5" x14ac:dyDescent="0.25">
      <c r="D4690" s="2"/>
      <c r="E4690" s="2"/>
    </row>
    <row r="4691" spans="4:5" x14ac:dyDescent="0.25">
      <c r="D4691" s="2"/>
      <c r="E4691" s="2"/>
    </row>
    <row r="4692" spans="4:5" x14ac:dyDescent="0.25">
      <c r="D4692" s="2"/>
      <c r="E4692" s="2"/>
    </row>
    <row r="4693" spans="4:5" x14ac:dyDescent="0.25">
      <c r="D4693" s="2"/>
      <c r="E4693" s="2"/>
    </row>
    <row r="4694" spans="4:5" x14ac:dyDescent="0.25">
      <c r="D4694" s="2"/>
      <c r="E4694" s="2"/>
    </row>
    <row r="4695" spans="4:5" x14ac:dyDescent="0.25">
      <c r="D4695" s="2"/>
      <c r="E4695" s="2"/>
    </row>
    <row r="4696" spans="4:5" x14ac:dyDescent="0.25">
      <c r="D4696" s="2"/>
      <c r="E4696" s="2"/>
    </row>
    <row r="4697" spans="4:5" x14ac:dyDescent="0.25">
      <c r="D4697" s="2"/>
      <c r="E4697" s="2"/>
    </row>
    <row r="4698" spans="4:5" x14ac:dyDescent="0.25">
      <c r="D4698" s="2"/>
      <c r="E4698" s="2"/>
    </row>
    <row r="4699" spans="4:5" x14ac:dyDescent="0.25">
      <c r="D4699" s="2"/>
      <c r="E4699" s="2"/>
    </row>
    <row r="4700" spans="4:5" x14ac:dyDescent="0.25">
      <c r="D4700" s="2"/>
      <c r="E4700" s="2"/>
    </row>
    <row r="4701" spans="4:5" x14ac:dyDescent="0.25">
      <c r="D4701" s="2"/>
      <c r="E4701" s="2"/>
    </row>
    <row r="4702" spans="4:5" x14ac:dyDescent="0.25">
      <c r="D4702" s="2"/>
      <c r="E4702" s="2"/>
    </row>
    <row r="4703" spans="4:5" x14ac:dyDescent="0.25">
      <c r="D4703" s="2"/>
      <c r="E4703" s="2"/>
    </row>
    <row r="4704" spans="4:5" x14ac:dyDescent="0.25">
      <c r="D4704" s="2"/>
      <c r="E4704" s="2"/>
    </row>
    <row r="4705" spans="4:5" x14ac:dyDescent="0.25">
      <c r="D4705" s="2"/>
      <c r="E4705" s="2"/>
    </row>
    <row r="4706" spans="4:5" x14ac:dyDescent="0.25">
      <c r="D4706" s="2"/>
      <c r="E4706" s="2"/>
    </row>
    <row r="4707" spans="4:5" x14ac:dyDescent="0.25">
      <c r="D4707" s="2"/>
      <c r="E4707" s="2"/>
    </row>
    <row r="4708" spans="4:5" x14ac:dyDescent="0.25">
      <c r="D4708" s="2"/>
      <c r="E4708" s="2"/>
    </row>
    <row r="4709" spans="4:5" x14ac:dyDescent="0.25">
      <c r="D4709" s="2"/>
      <c r="E4709" s="2"/>
    </row>
    <row r="4710" spans="4:5" x14ac:dyDescent="0.25">
      <c r="D4710" s="2"/>
      <c r="E4710" s="2"/>
    </row>
    <row r="4711" spans="4:5" x14ac:dyDescent="0.25">
      <c r="D4711" s="2"/>
      <c r="E4711" s="2"/>
    </row>
    <row r="4712" spans="4:5" x14ac:dyDescent="0.25">
      <c r="D4712" s="2"/>
      <c r="E4712" s="2"/>
    </row>
    <row r="4713" spans="4:5" x14ac:dyDescent="0.25">
      <c r="D4713" s="2"/>
      <c r="E4713" s="2"/>
    </row>
    <row r="4714" spans="4:5" x14ac:dyDescent="0.25">
      <c r="D4714" s="2"/>
      <c r="E4714" s="2"/>
    </row>
    <row r="4715" spans="4:5" x14ac:dyDescent="0.25">
      <c r="D4715" s="2"/>
      <c r="E4715" s="2"/>
    </row>
    <row r="4716" spans="4:5" x14ac:dyDescent="0.25">
      <c r="D4716" s="2"/>
      <c r="E4716" s="2"/>
    </row>
    <row r="4717" spans="4:5" x14ac:dyDescent="0.25">
      <c r="D4717" s="2"/>
      <c r="E4717" s="2"/>
    </row>
    <row r="4718" spans="4:5" x14ac:dyDescent="0.25">
      <c r="D4718" s="2"/>
      <c r="E4718" s="2"/>
    </row>
    <row r="4719" spans="4:5" x14ac:dyDescent="0.25">
      <c r="D4719" s="2"/>
      <c r="E4719" s="2"/>
    </row>
    <row r="4720" spans="4:5" x14ac:dyDescent="0.25">
      <c r="D4720" s="2"/>
      <c r="E4720" s="2"/>
    </row>
    <row r="4721" spans="4:5" x14ac:dyDescent="0.25">
      <c r="D4721" s="2"/>
      <c r="E4721" s="2"/>
    </row>
    <row r="4722" spans="4:5" x14ac:dyDescent="0.25">
      <c r="D4722" s="2"/>
      <c r="E4722" s="2"/>
    </row>
    <row r="4723" spans="4:5" x14ac:dyDescent="0.25">
      <c r="D4723" s="2"/>
      <c r="E4723" s="2"/>
    </row>
    <row r="4724" spans="4:5" x14ac:dyDescent="0.25">
      <c r="D4724" s="2"/>
      <c r="E4724" s="2"/>
    </row>
    <row r="4725" spans="4:5" x14ac:dyDescent="0.25">
      <c r="D4725" s="2"/>
      <c r="E4725" s="2"/>
    </row>
    <row r="4726" spans="4:5" x14ac:dyDescent="0.25">
      <c r="D4726" s="2"/>
      <c r="E4726" s="2"/>
    </row>
    <row r="4727" spans="4:5" x14ac:dyDescent="0.25">
      <c r="D4727" s="2"/>
      <c r="E4727" s="2"/>
    </row>
    <row r="4728" spans="4:5" x14ac:dyDescent="0.25">
      <c r="D4728" s="2"/>
      <c r="E4728" s="2"/>
    </row>
    <row r="4729" spans="4:5" x14ac:dyDescent="0.25">
      <c r="D4729" s="2"/>
      <c r="E4729" s="2"/>
    </row>
    <row r="4730" spans="4:5" x14ac:dyDescent="0.25">
      <c r="D4730" s="2"/>
      <c r="E4730" s="2"/>
    </row>
    <row r="4731" spans="4:5" x14ac:dyDescent="0.25">
      <c r="D4731" s="2"/>
      <c r="E4731" s="2"/>
    </row>
    <row r="4732" spans="4:5" x14ac:dyDescent="0.25">
      <c r="D4732" s="2"/>
      <c r="E4732" s="2"/>
    </row>
    <row r="4733" spans="4:5" x14ac:dyDescent="0.25">
      <c r="D4733" s="2"/>
      <c r="E4733" s="2"/>
    </row>
    <row r="4734" spans="4:5" x14ac:dyDescent="0.25">
      <c r="D4734" s="2"/>
      <c r="E4734" s="2"/>
    </row>
    <row r="4735" spans="4:5" x14ac:dyDescent="0.25">
      <c r="D4735" s="2"/>
      <c r="E4735" s="2"/>
    </row>
    <row r="4736" spans="4:5" x14ac:dyDescent="0.25">
      <c r="D4736" s="2"/>
      <c r="E4736" s="2"/>
    </row>
    <row r="4737" spans="4:5" x14ac:dyDescent="0.25">
      <c r="D4737" s="2"/>
      <c r="E4737" s="2"/>
    </row>
    <row r="4738" spans="4:5" x14ac:dyDescent="0.25">
      <c r="D4738" s="2"/>
      <c r="E4738" s="2"/>
    </row>
    <row r="4739" spans="4:5" x14ac:dyDescent="0.25">
      <c r="D4739" s="2"/>
      <c r="E4739" s="2"/>
    </row>
    <row r="4740" spans="4:5" x14ac:dyDescent="0.25">
      <c r="D4740" s="2"/>
      <c r="E4740" s="2"/>
    </row>
    <row r="4741" spans="4:5" x14ac:dyDescent="0.25">
      <c r="D4741" s="2"/>
      <c r="E4741" s="2"/>
    </row>
    <row r="4742" spans="4:5" x14ac:dyDescent="0.25">
      <c r="D4742" s="2"/>
      <c r="E4742" s="2"/>
    </row>
    <row r="4743" spans="4:5" x14ac:dyDescent="0.25">
      <c r="D4743" s="2"/>
      <c r="E4743" s="2"/>
    </row>
    <row r="4744" spans="4:5" x14ac:dyDescent="0.25">
      <c r="D4744" s="2"/>
      <c r="E4744" s="2"/>
    </row>
    <row r="4745" spans="4:5" x14ac:dyDescent="0.25">
      <c r="D4745" s="2"/>
      <c r="E4745" s="2"/>
    </row>
    <row r="4746" spans="4:5" x14ac:dyDescent="0.25">
      <c r="D4746" s="2"/>
      <c r="E4746" s="2"/>
    </row>
    <row r="4747" spans="4:5" x14ac:dyDescent="0.25">
      <c r="D4747" s="2"/>
      <c r="E4747" s="2"/>
    </row>
    <row r="4748" spans="4:5" x14ac:dyDescent="0.25">
      <c r="D4748" s="2"/>
      <c r="E4748" s="2"/>
    </row>
    <row r="4749" spans="4:5" x14ac:dyDescent="0.25">
      <c r="D4749" s="2"/>
      <c r="E4749" s="2"/>
    </row>
    <row r="4750" spans="4:5" x14ac:dyDescent="0.25">
      <c r="D4750" s="2"/>
      <c r="E4750" s="2"/>
    </row>
    <row r="4751" spans="4:5" x14ac:dyDescent="0.25">
      <c r="D4751" s="2"/>
      <c r="E4751" s="2"/>
    </row>
    <row r="4752" spans="4:5" x14ac:dyDescent="0.25">
      <c r="D4752" s="2"/>
      <c r="E4752" s="2"/>
    </row>
    <row r="4753" spans="4:5" x14ac:dyDescent="0.25">
      <c r="D4753" s="2"/>
      <c r="E4753" s="2"/>
    </row>
    <row r="4754" spans="4:5" x14ac:dyDescent="0.25">
      <c r="D4754" s="2"/>
      <c r="E4754" s="2"/>
    </row>
    <row r="4755" spans="4:5" x14ac:dyDescent="0.25">
      <c r="D4755" s="2"/>
      <c r="E4755" s="2"/>
    </row>
    <row r="4756" spans="4:5" x14ac:dyDescent="0.25">
      <c r="D4756" s="2"/>
      <c r="E4756" s="2"/>
    </row>
    <row r="4757" spans="4:5" x14ac:dyDescent="0.25">
      <c r="D4757" s="2"/>
      <c r="E4757" s="2"/>
    </row>
    <row r="4758" spans="4:5" x14ac:dyDescent="0.25">
      <c r="D4758" s="2"/>
      <c r="E4758" s="2"/>
    </row>
    <row r="4759" spans="4:5" x14ac:dyDescent="0.25">
      <c r="D4759" s="2"/>
      <c r="E4759" s="2"/>
    </row>
    <row r="4760" spans="4:5" x14ac:dyDescent="0.25">
      <c r="D4760" s="2"/>
      <c r="E4760" s="2"/>
    </row>
    <row r="4761" spans="4:5" x14ac:dyDescent="0.25">
      <c r="D4761" s="2"/>
      <c r="E4761" s="2"/>
    </row>
    <row r="4762" spans="4:5" x14ac:dyDescent="0.25">
      <c r="D4762" s="2"/>
      <c r="E4762" s="2"/>
    </row>
    <row r="4763" spans="4:5" x14ac:dyDescent="0.25">
      <c r="D4763" s="2"/>
      <c r="E4763" s="2"/>
    </row>
    <row r="4764" spans="4:5" x14ac:dyDescent="0.25">
      <c r="D4764" s="2"/>
      <c r="E4764" s="2"/>
    </row>
    <row r="4765" spans="4:5" x14ac:dyDescent="0.25">
      <c r="D4765" s="2"/>
      <c r="E4765" s="2"/>
    </row>
    <row r="4766" spans="4:5" x14ac:dyDescent="0.25">
      <c r="D4766" s="2"/>
      <c r="E4766" s="2"/>
    </row>
    <row r="4767" spans="4:5" x14ac:dyDescent="0.25">
      <c r="D4767" s="2"/>
      <c r="E4767" s="2"/>
    </row>
    <row r="4768" spans="4:5" x14ac:dyDescent="0.25">
      <c r="D4768" s="2"/>
      <c r="E4768" s="2"/>
    </row>
    <row r="4769" spans="4:5" x14ac:dyDescent="0.25">
      <c r="D4769" s="2"/>
      <c r="E4769" s="2"/>
    </row>
    <row r="4770" spans="4:5" x14ac:dyDescent="0.25">
      <c r="D4770" s="2"/>
      <c r="E4770" s="2"/>
    </row>
    <row r="4771" spans="4:5" x14ac:dyDescent="0.25">
      <c r="D4771" s="2"/>
      <c r="E4771" s="2"/>
    </row>
    <row r="4772" spans="4:5" x14ac:dyDescent="0.25">
      <c r="D4772" s="2"/>
      <c r="E4772" s="2"/>
    </row>
    <row r="4773" spans="4:5" x14ac:dyDescent="0.25">
      <c r="D4773" s="2"/>
      <c r="E4773" s="2"/>
    </row>
    <row r="4774" spans="4:5" x14ac:dyDescent="0.25">
      <c r="D4774" s="2"/>
      <c r="E4774" s="2"/>
    </row>
    <row r="4775" spans="4:5" x14ac:dyDescent="0.25">
      <c r="D4775" s="2"/>
      <c r="E4775" s="2"/>
    </row>
    <row r="4776" spans="4:5" x14ac:dyDescent="0.25">
      <c r="D4776" s="2"/>
      <c r="E4776" s="2"/>
    </row>
    <row r="4777" spans="4:5" x14ac:dyDescent="0.25">
      <c r="D4777" s="2"/>
      <c r="E4777" s="2"/>
    </row>
    <row r="4778" spans="4:5" x14ac:dyDescent="0.25">
      <c r="D4778" s="2"/>
      <c r="E4778" s="2"/>
    </row>
    <row r="4779" spans="4:5" x14ac:dyDescent="0.25">
      <c r="D4779" s="2"/>
      <c r="E4779" s="2"/>
    </row>
    <row r="4780" spans="4:5" x14ac:dyDescent="0.25">
      <c r="D4780" s="2"/>
      <c r="E4780" s="2"/>
    </row>
    <row r="4781" spans="4:5" x14ac:dyDescent="0.25">
      <c r="D4781" s="2"/>
      <c r="E4781" s="2"/>
    </row>
    <row r="4782" spans="4:5" x14ac:dyDescent="0.25">
      <c r="D4782" s="2"/>
      <c r="E4782" s="2"/>
    </row>
    <row r="4783" spans="4:5" x14ac:dyDescent="0.25">
      <c r="D4783" s="2"/>
      <c r="E4783" s="2"/>
    </row>
    <row r="4784" spans="4:5" x14ac:dyDescent="0.25">
      <c r="D4784" s="2"/>
      <c r="E4784" s="2"/>
    </row>
    <row r="4785" spans="4:5" x14ac:dyDescent="0.25">
      <c r="D4785" s="2"/>
      <c r="E4785" s="2"/>
    </row>
    <row r="4786" spans="4:5" x14ac:dyDescent="0.25">
      <c r="D4786" s="2"/>
      <c r="E4786" s="2"/>
    </row>
    <row r="4787" spans="4:5" x14ac:dyDescent="0.25">
      <c r="D4787" s="2"/>
      <c r="E4787" s="2"/>
    </row>
    <row r="4788" spans="4:5" x14ac:dyDescent="0.25">
      <c r="D4788" s="2"/>
      <c r="E4788" s="2"/>
    </row>
    <row r="4789" spans="4:5" x14ac:dyDescent="0.25">
      <c r="D4789" s="2"/>
      <c r="E4789" s="2"/>
    </row>
    <row r="4790" spans="4:5" x14ac:dyDescent="0.25">
      <c r="D4790" s="2"/>
      <c r="E4790" s="2"/>
    </row>
    <row r="4791" spans="4:5" x14ac:dyDescent="0.25">
      <c r="D4791" s="2"/>
      <c r="E4791" s="2"/>
    </row>
    <row r="4792" spans="4:5" x14ac:dyDescent="0.25">
      <c r="D4792" s="2"/>
      <c r="E4792" s="2"/>
    </row>
    <row r="4793" spans="4:5" x14ac:dyDescent="0.25">
      <c r="D4793" s="2"/>
      <c r="E4793" s="2"/>
    </row>
    <row r="4794" spans="4:5" x14ac:dyDescent="0.25">
      <c r="D4794" s="2"/>
      <c r="E4794" s="2"/>
    </row>
    <row r="4795" spans="4:5" x14ac:dyDescent="0.25">
      <c r="D4795" s="2"/>
      <c r="E4795" s="2"/>
    </row>
    <row r="4796" spans="4:5" x14ac:dyDescent="0.25">
      <c r="D4796" s="2"/>
      <c r="E4796" s="2"/>
    </row>
    <row r="4797" spans="4:5" x14ac:dyDescent="0.25">
      <c r="D4797" s="2"/>
      <c r="E4797" s="2"/>
    </row>
    <row r="4798" spans="4:5" x14ac:dyDescent="0.25">
      <c r="D4798" s="2"/>
      <c r="E4798" s="2"/>
    </row>
    <row r="4799" spans="4:5" x14ac:dyDescent="0.25">
      <c r="D4799" s="2"/>
      <c r="E4799" s="2"/>
    </row>
    <row r="4800" spans="4:5" x14ac:dyDescent="0.25">
      <c r="D4800" s="2"/>
      <c r="E4800" s="2"/>
    </row>
    <row r="4801" spans="4:5" x14ac:dyDescent="0.25">
      <c r="D4801" s="2"/>
      <c r="E4801" s="2"/>
    </row>
    <row r="4802" spans="4:5" x14ac:dyDescent="0.25">
      <c r="D4802" s="2"/>
      <c r="E4802" s="2"/>
    </row>
    <row r="4803" spans="4:5" x14ac:dyDescent="0.25">
      <c r="D4803" s="2"/>
      <c r="E4803" s="2"/>
    </row>
    <row r="4804" spans="4:5" x14ac:dyDescent="0.25">
      <c r="D4804" s="2"/>
      <c r="E4804" s="2"/>
    </row>
    <row r="4805" spans="4:5" x14ac:dyDescent="0.25">
      <c r="D4805" s="2"/>
      <c r="E4805" s="2"/>
    </row>
    <row r="4806" spans="4:5" x14ac:dyDescent="0.25">
      <c r="D4806" s="2"/>
      <c r="E4806" s="2"/>
    </row>
    <row r="4807" spans="4:5" x14ac:dyDescent="0.25">
      <c r="D4807" s="2"/>
      <c r="E4807" s="2"/>
    </row>
    <row r="4808" spans="4:5" x14ac:dyDescent="0.25">
      <c r="D4808" s="2"/>
      <c r="E4808" s="2"/>
    </row>
    <row r="4809" spans="4:5" x14ac:dyDescent="0.25">
      <c r="D4809" s="2"/>
      <c r="E4809" s="2"/>
    </row>
    <row r="4810" spans="4:5" x14ac:dyDescent="0.25">
      <c r="D4810" s="2"/>
      <c r="E4810" s="2"/>
    </row>
    <row r="4811" spans="4:5" x14ac:dyDescent="0.25">
      <c r="D4811" s="2"/>
      <c r="E4811" s="2"/>
    </row>
    <row r="4812" spans="4:5" x14ac:dyDescent="0.25">
      <c r="D4812" s="2"/>
      <c r="E4812" s="2"/>
    </row>
    <row r="4813" spans="4:5" x14ac:dyDescent="0.25">
      <c r="D4813" s="2"/>
      <c r="E4813" s="2"/>
    </row>
    <row r="4814" spans="4:5" x14ac:dyDescent="0.25">
      <c r="D4814" s="2"/>
      <c r="E4814" s="2"/>
    </row>
    <row r="4815" spans="4:5" x14ac:dyDescent="0.25">
      <c r="D4815" s="2"/>
      <c r="E4815" s="2"/>
    </row>
    <row r="4816" spans="4:5" x14ac:dyDescent="0.25">
      <c r="D4816" s="2"/>
      <c r="E4816" s="2"/>
    </row>
    <row r="4817" spans="4:5" x14ac:dyDescent="0.25">
      <c r="D4817" s="2"/>
      <c r="E4817" s="2"/>
    </row>
    <row r="4818" spans="4:5" x14ac:dyDescent="0.25">
      <c r="D4818" s="2"/>
      <c r="E4818" s="2"/>
    </row>
    <row r="4819" spans="4:5" x14ac:dyDescent="0.25">
      <c r="D4819" s="2"/>
      <c r="E4819" s="2"/>
    </row>
    <row r="4820" spans="4:5" x14ac:dyDescent="0.25">
      <c r="D4820" s="2"/>
      <c r="E4820" s="2"/>
    </row>
    <row r="4821" spans="4:5" x14ac:dyDescent="0.25">
      <c r="D4821" s="2"/>
      <c r="E4821" s="2"/>
    </row>
    <row r="4822" spans="4:5" x14ac:dyDescent="0.25">
      <c r="D4822" s="2"/>
      <c r="E4822" s="2"/>
    </row>
    <row r="4823" spans="4:5" x14ac:dyDescent="0.25">
      <c r="D4823" s="2"/>
      <c r="E4823" s="2"/>
    </row>
    <row r="4824" spans="4:5" x14ac:dyDescent="0.25">
      <c r="D4824" s="2"/>
      <c r="E4824" s="2"/>
    </row>
    <row r="4825" spans="4:5" x14ac:dyDescent="0.25">
      <c r="D4825" s="2"/>
      <c r="E4825" s="2"/>
    </row>
    <row r="4826" spans="4:5" x14ac:dyDescent="0.25">
      <c r="D4826" s="2"/>
      <c r="E4826" s="2"/>
    </row>
    <row r="4827" spans="4:5" x14ac:dyDescent="0.25">
      <c r="D4827" s="2"/>
      <c r="E4827" s="2"/>
    </row>
    <row r="4828" spans="4:5" x14ac:dyDescent="0.25">
      <c r="D4828" s="2"/>
      <c r="E4828" s="2"/>
    </row>
    <row r="4829" spans="4:5" x14ac:dyDescent="0.25">
      <c r="D4829" s="2"/>
      <c r="E4829" s="2"/>
    </row>
    <row r="4830" spans="4:5" x14ac:dyDescent="0.25">
      <c r="D4830" s="2"/>
      <c r="E4830" s="2"/>
    </row>
    <row r="4831" spans="4:5" x14ac:dyDescent="0.25">
      <c r="D4831" s="2"/>
      <c r="E4831" s="2"/>
    </row>
    <row r="4832" spans="4:5" x14ac:dyDescent="0.25">
      <c r="D4832" s="2"/>
      <c r="E4832" s="2"/>
    </row>
    <row r="4833" spans="4:5" x14ac:dyDescent="0.25">
      <c r="D4833" s="2"/>
      <c r="E4833" s="2"/>
    </row>
    <row r="4834" spans="4:5" x14ac:dyDescent="0.25">
      <c r="D4834" s="2"/>
      <c r="E4834" s="2"/>
    </row>
    <row r="4835" spans="4:5" x14ac:dyDescent="0.25">
      <c r="D4835" s="2"/>
      <c r="E4835" s="2"/>
    </row>
    <row r="4836" spans="4:5" x14ac:dyDescent="0.25">
      <c r="D4836" s="2"/>
      <c r="E4836" s="2"/>
    </row>
    <row r="4837" spans="4:5" x14ac:dyDescent="0.25">
      <c r="D4837" s="2"/>
      <c r="E4837" s="2"/>
    </row>
    <row r="4838" spans="4:5" x14ac:dyDescent="0.25">
      <c r="D4838" s="2"/>
      <c r="E4838" s="2"/>
    </row>
    <row r="4839" spans="4:5" x14ac:dyDescent="0.25">
      <c r="D4839" s="2"/>
      <c r="E4839" s="2"/>
    </row>
    <row r="4840" spans="4:5" x14ac:dyDescent="0.25">
      <c r="D4840" s="2"/>
      <c r="E4840" s="2"/>
    </row>
    <row r="4841" spans="4:5" x14ac:dyDescent="0.25">
      <c r="D4841" s="2"/>
      <c r="E4841" s="2"/>
    </row>
    <row r="4842" spans="4:5" x14ac:dyDescent="0.25">
      <c r="D4842" s="2"/>
      <c r="E4842" s="2"/>
    </row>
    <row r="4843" spans="4:5" x14ac:dyDescent="0.25">
      <c r="D4843" s="2"/>
      <c r="E4843" s="2"/>
    </row>
    <row r="4844" spans="4:5" x14ac:dyDescent="0.25">
      <c r="D4844" s="2"/>
      <c r="E4844" s="2"/>
    </row>
    <row r="4845" spans="4:5" x14ac:dyDescent="0.25">
      <c r="D4845" s="2"/>
      <c r="E4845" s="2"/>
    </row>
    <row r="4846" spans="4:5" x14ac:dyDescent="0.25">
      <c r="D4846" s="2"/>
      <c r="E4846" s="2"/>
    </row>
    <row r="4847" spans="4:5" x14ac:dyDescent="0.25">
      <c r="D4847" s="2"/>
      <c r="E4847" s="2"/>
    </row>
    <row r="4848" spans="4:5" x14ac:dyDescent="0.25">
      <c r="D4848" s="2"/>
      <c r="E4848" s="2"/>
    </row>
    <row r="4849" spans="4:5" x14ac:dyDescent="0.25">
      <c r="D4849" s="2"/>
      <c r="E4849" s="2"/>
    </row>
    <row r="4850" spans="4:5" x14ac:dyDescent="0.25">
      <c r="D4850" s="2"/>
      <c r="E4850" s="2"/>
    </row>
    <row r="4851" spans="4:5" x14ac:dyDescent="0.25">
      <c r="D4851" s="2"/>
      <c r="E4851" s="2"/>
    </row>
    <row r="4852" spans="4:5" x14ac:dyDescent="0.25">
      <c r="D4852" s="2"/>
      <c r="E4852" s="2"/>
    </row>
    <row r="4853" spans="4:5" x14ac:dyDescent="0.25">
      <c r="D4853" s="2"/>
      <c r="E4853" s="2"/>
    </row>
    <row r="4854" spans="4:5" x14ac:dyDescent="0.25">
      <c r="D4854" s="2"/>
      <c r="E4854" s="2"/>
    </row>
    <row r="4855" spans="4:5" x14ac:dyDescent="0.25">
      <c r="D4855" s="2"/>
      <c r="E4855" s="2"/>
    </row>
    <row r="4856" spans="4:5" x14ac:dyDescent="0.25">
      <c r="D4856" s="2"/>
      <c r="E4856" s="2"/>
    </row>
    <row r="4857" spans="4:5" x14ac:dyDescent="0.25">
      <c r="D4857" s="2"/>
      <c r="E4857" s="2"/>
    </row>
    <row r="4858" spans="4:5" x14ac:dyDescent="0.25">
      <c r="D4858" s="2"/>
      <c r="E4858" s="2"/>
    </row>
    <row r="4859" spans="4:5" x14ac:dyDescent="0.25">
      <c r="D4859" s="2"/>
      <c r="E4859" s="2"/>
    </row>
    <row r="4860" spans="4:5" x14ac:dyDescent="0.25">
      <c r="D4860" s="2"/>
      <c r="E4860" s="2"/>
    </row>
    <row r="4861" spans="4:5" x14ac:dyDescent="0.25">
      <c r="D4861" s="2"/>
      <c r="E4861" s="2"/>
    </row>
    <row r="4862" spans="4:5" x14ac:dyDescent="0.25">
      <c r="D4862" s="2"/>
      <c r="E4862" s="2"/>
    </row>
    <row r="4863" spans="4:5" x14ac:dyDescent="0.25">
      <c r="D4863" s="2"/>
      <c r="E4863" s="2"/>
    </row>
    <row r="4864" spans="4:5" x14ac:dyDescent="0.25">
      <c r="D4864" s="2"/>
      <c r="E4864" s="2"/>
    </row>
    <row r="4865" spans="4:5" x14ac:dyDescent="0.25">
      <c r="D4865" s="2"/>
      <c r="E4865" s="2"/>
    </row>
    <row r="4866" spans="4:5" x14ac:dyDescent="0.25">
      <c r="D4866" s="2"/>
      <c r="E4866" s="2"/>
    </row>
    <row r="4867" spans="4:5" x14ac:dyDescent="0.25">
      <c r="D4867" s="2"/>
      <c r="E4867" s="2"/>
    </row>
    <row r="4868" spans="4:5" x14ac:dyDescent="0.25">
      <c r="D4868" s="2"/>
      <c r="E4868" s="2"/>
    </row>
    <row r="4869" spans="4:5" x14ac:dyDescent="0.25">
      <c r="D4869" s="2"/>
      <c r="E4869" s="2"/>
    </row>
    <row r="4870" spans="4:5" x14ac:dyDescent="0.25">
      <c r="D4870" s="2"/>
      <c r="E4870" s="2"/>
    </row>
    <row r="4871" spans="4:5" x14ac:dyDescent="0.25">
      <c r="D4871" s="2"/>
      <c r="E4871" s="2"/>
    </row>
    <row r="4872" spans="4:5" x14ac:dyDescent="0.25">
      <c r="D4872" s="2"/>
      <c r="E4872" s="2"/>
    </row>
    <row r="4873" spans="4:5" x14ac:dyDescent="0.25">
      <c r="D4873" s="2"/>
      <c r="E4873" s="2"/>
    </row>
    <row r="4874" spans="4:5" x14ac:dyDescent="0.25">
      <c r="D4874" s="2"/>
      <c r="E4874" s="2"/>
    </row>
    <row r="4875" spans="4:5" x14ac:dyDescent="0.25">
      <c r="D4875" s="2"/>
      <c r="E4875" s="2"/>
    </row>
    <row r="4876" spans="4:5" x14ac:dyDescent="0.25">
      <c r="D4876" s="2"/>
      <c r="E4876" s="2"/>
    </row>
    <row r="4877" spans="4:5" x14ac:dyDescent="0.25">
      <c r="D4877" s="2"/>
      <c r="E4877" s="2"/>
    </row>
    <row r="4878" spans="4:5" x14ac:dyDescent="0.25">
      <c r="D4878" s="2"/>
      <c r="E4878" s="2"/>
    </row>
    <row r="4879" spans="4:5" x14ac:dyDescent="0.25">
      <c r="D4879" s="2"/>
      <c r="E4879" s="2"/>
    </row>
    <row r="4880" spans="4:5" x14ac:dyDescent="0.25">
      <c r="D4880" s="2"/>
      <c r="E4880" s="2"/>
    </row>
    <row r="4881" spans="4:5" x14ac:dyDescent="0.25">
      <c r="D4881" s="2"/>
      <c r="E4881" s="2"/>
    </row>
    <row r="4882" spans="4:5" x14ac:dyDescent="0.25">
      <c r="D4882" s="2"/>
      <c r="E4882" s="2"/>
    </row>
    <row r="4883" spans="4:5" x14ac:dyDescent="0.25">
      <c r="D4883" s="2"/>
      <c r="E4883" s="2"/>
    </row>
    <row r="4884" spans="4:5" x14ac:dyDescent="0.25">
      <c r="D4884" s="2"/>
      <c r="E4884" s="2"/>
    </row>
    <row r="4885" spans="4:5" x14ac:dyDescent="0.25">
      <c r="D4885" s="2"/>
      <c r="E4885" s="2"/>
    </row>
    <row r="4886" spans="4:5" x14ac:dyDescent="0.25">
      <c r="D4886" s="2"/>
      <c r="E4886" s="2"/>
    </row>
    <row r="4887" spans="4:5" x14ac:dyDescent="0.25">
      <c r="D4887" s="2"/>
      <c r="E4887" s="2"/>
    </row>
    <row r="4888" spans="4:5" x14ac:dyDescent="0.25">
      <c r="D4888" s="2"/>
      <c r="E4888" s="2"/>
    </row>
    <row r="4889" spans="4:5" x14ac:dyDescent="0.25">
      <c r="D4889" s="2"/>
      <c r="E4889" s="2"/>
    </row>
    <row r="4890" spans="4:5" x14ac:dyDescent="0.25">
      <c r="D4890" s="2"/>
      <c r="E4890" s="2"/>
    </row>
    <row r="4891" spans="4:5" x14ac:dyDescent="0.25">
      <c r="D4891" s="2"/>
      <c r="E4891" s="2"/>
    </row>
    <row r="4892" spans="4:5" x14ac:dyDescent="0.25">
      <c r="D4892" s="2"/>
      <c r="E4892" s="2"/>
    </row>
    <row r="4893" spans="4:5" x14ac:dyDescent="0.25">
      <c r="D4893" s="2"/>
      <c r="E4893" s="2"/>
    </row>
    <row r="4894" spans="4:5" x14ac:dyDescent="0.25">
      <c r="D4894" s="2"/>
      <c r="E4894" s="2"/>
    </row>
    <row r="4895" spans="4:5" x14ac:dyDescent="0.25">
      <c r="D4895" s="2"/>
      <c r="E4895" s="2"/>
    </row>
    <row r="4896" spans="4:5" x14ac:dyDescent="0.25">
      <c r="D4896" s="2"/>
      <c r="E4896" s="2"/>
    </row>
    <row r="4897" spans="4:5" x14ac:dyDescent="0.25">
      <c r="D4897" s="2"/>
      <c r="E4897" s="2"/>
    </row>
    <row r="4898" spans="4:5" x14ac:dyDescent="0.25">
      <c r="D4898" s="2"/>
      <c r="E4898" s="2"/>
    </row>
    <row r="4899" spans="4:5" x14ac:dyDescent="0.25">
      <c r="D4899" s="2"/>
      <c r="E4899" s="2"/>
    </row>
    <row r="4900" spans="4:5" x14ac:dyDescent="0.25">
      <c r="D4900" s="2"/>
      <c r="E4900" s="2"/>
    </row>
    <row r="4901" spans="4:5" x14ac:dyDescent="0.25">
      <c r="D4901" s="2"/>
      <c r="E4901" s="2"/>
    </row>
    <row r="4902" spans="4:5" x14ac:dyDescent="0.25">
      <c r="D4902" s="2"/>
      <c r="E4902" s="2"/>
    </row>
    <row r="4903" spans="4:5" x14ac:dyDescent="0.25">
      <c r="D4903" s="2"/>
      <c r="E4903" s="2"/>
    </row>
    <row r="4904" spans="4:5" x14ac:dyDescent="0.25">
      <c r="D4904" s="2"/>
      <c r="E4904" s="2"/>
    </row>
    <row r="4905" spans="4:5" x14ac:dyDescent="0.25">
      <c r="D4905" s="2"/>
      <c r="E4905" s="2"/>
    </row>
    <row r="4906" spans="4:5" x14ac:dyDescent="0.25">
      <c r="D4906" s="2"/>
      <c r="E4906" s="2"/>
    </row>
    <row r="4907" spans="4:5" x14ac:dyDescent="0.25">
      <c r="D4907" s="2"/>
      <c r="E4907" s="2"/>
    </row>
    <row r="4908" spans="4:5" x14ac:dyDescent="0.25">
      <c r="D4908" s="2"/>
      <c r="E4908" s="2"/>
    </row>
    <row r="4909" spans="4:5" x14ac:dyDescent="0.25">
      <c r="D4909" s="2"/>
      <c r="E4909" s="2"/>
    </row>
    <row r="4910" spans="4:5" x14ac:dyDescent="0.25">
      <c r="D4910" s="2"/>
      <c r="E4910" s="2"/>
    </row>
    <row r="4911" spans="4:5" x14ac:dyDescent="0.25">
      <c r="D4911" s="2"/>
      <c r="E4911" s="2"/>
    </row>
    <row r="4912" spans="4:5" x14ac:dyDescent="0.25">
      <c r="D4912" s="2"/>
      <c r="E4912" s="2"/>
    </row>
    <row r="4913" spans="4:5" x14ac:dyDescent="0.25">
      <c r="D4913" s="2"/>
      <c r="E4913" s="2"/>
    </row>
    <row r="4914" spans="4:5" x14ac:dyDescent="0.25">
      <c r="D4914" s="2"/>
      <c r="E4914" s="2"/>
    </row>
    <row r="4915" spans="4:5" x14ac:dyDescent="0.25">
      <c r="D4915" s="2"/>
      <c r="E4915" s="2"/>
    </row>
    <row r="4916" spans="4:5" x14ac:dyDescent="0.25">
      <c r="D4916" s="2"/>
      <c r="E4916" s="2"/>
    </row>
    <row r="4917" spans="4:5" x14ac:dyDescent="0.25">
      <c r="D4917" s="2"/>
      <c r="E4917" s="2"/>
    </row>
    <row r="4918" spans="4:5" x14ac:dyDescent="0.25">
      <c r="D4918" s="2"/>
      <c r="E4918" s="2"/>
    </row>
    <row r="4919" spans="4:5" x14ac:dyDescent="0.25">
      <c r="D4919" s="2"/>
      <c r="E4919" s="2"/>
    </row>
    <row r="4920" spans="4:5" x14ac:dyDescent="0.25">
      <c r="D4920" s="2"/>
      <c r="E4920" s="2"/>
    </row>
    <row r="4921" spans="4:5" x14ac:dyDescent="0.25">
      <c r="D4921" s="2"/>
      <c r="E4921" s="2"/>
    </row>
    <row r="4922" spans="4:5" x14ac:dyDescent="0.25">
      <c r="D4922" s="2"/>
      <c r="E4922" s="2"/>
    </row>
    <row r="4923" spans="4:5" x14ac:dyDescent="0.25">
      <c r="D4923" s="2"/>
      <c r="E4923" s="2"/>
    </row>
    <row r="4924" spans="4:5" x14ac:dyDescent="0.25">
      <c r="D4924" s="2"/>
      <c r="E4924" s="2"/>
    </row>
    <row r="4925" spans="4:5" x14ac:dyDescent="0.25">
      <c r="D4925" s="2"/>
      <c r="E4925" s="2"/>
    </row>
    <row r="4926" spans="4:5" x14ac:dyDescent="0.25">
      <c r="D4926" s="2"/>
      <c r="E4926" s="2"/>
    </row>
    <row r="4927" spans="4:5" x14ac:dyDescent="0.25">
      <c r="D4927" s="2"/>
      <c r="E4927" s="2"/>
    </row>
    <row r="4928" spans="4:5" x14ac:dyDescent="0.25">
      <c r="D4928" s="2"/>
      <c r="E4928" s="2"/>
    </row>
    <row r="4929" spans="4:5" x14ac:dyDescent="0.25">
      <c r="D4929" s="2"/>
      <c r="E4929" s="2"/>
    </row>
    <row r="4930" spans="4:5" x14ac:dyDescent="0.25">
      <c r="D4930" s="2"/>
      <c r="E4930" s="2"/>
    </row>
    <row r="4931" spans="4:5" x14ac:dyDescent="0.25">
      <c r="D4931" s="2"/>
      <c r="E4931" s="2"/>
    </row>
    <row r="4932" spans="4:5" x14ac:dyDescent="0.25">
      <c r="D4932" s="2"/>
      <c r="E4932" s="2"/>
    </row>
    <row r="4933" spans="4:5" x14ac:dyDescent="0.25">
      <c r="D4933" s="2"/>
      <c r="E4933" s="2"/>
    </row>
    <row r="4934" spans="4:5" x14ac:dyDescent="0.25">
      <c r="D4934" s="2"/>
      <c r="E4934" s="2"/>
    </row>
    <row r="4935" spans="4:5" x14ac:dyDescent="0.25">
      <c r="D4935" s="2"/>
      <c r="E4935" s="2"/>
    </row>
    <row r="4936" spans="4:5" x14ac:dyDescent="0.25">
      <c r="D4936" s="2"/>
      <c r="E4936" s="2"/>
    </row>
    <row r="4937" spans="4:5" x14ac:dyDescent="0.25">
      <c r="D4937" s="2"/>
      <c r="E4937" s="2"/>
    </row>
    <row r="4938" spans="4:5" x14ac:dyDescent="0.25">
      <c r="D4938" s="2"/>
      <c r="E4938" s="2"/>
    </row>
    <row r="4939" spans="4:5" x14ac:dyDescent="0.25">
      <c r="D4939" s="2"/>
      <c r="E4939" s="2"/>
    </row>
    <row r="4940" spans="4:5" x14ac:dyDescent="0.25">
      <c r="D4940" s="2"/>
      <c r="E4940" s="2"/>
    </row>
    <row r="4941" spans="4:5" x14ac:dyDescent="0.25">
      <c r="D4941" s="2"/>
      <c r="E4941" s="2"/>
    </row>
    <row r="4942" spans="4:5" x14ac:dyDescent="0.25">
      <c r="D4942" s="2"/>
      <c r="E4942" s="2"/>
    </row>
    <row r="4943" spans="4:5" x14ac:dyDescent="0.25">
      <c r="D4943" s="2"/>
      <c r="E4943" s="2"/>
    </row>
    <row r="4944" spans="4:5" x14ac:dyDescent="0.25">
      <c r="D4944" s="2"/>
      <c r="E4944" s="2"/>
    </row>
    <row r="4945" spans="4:5" x14ac:dyDescent="0.25">
      <c r="D4945" s="2"/>
      <c r="E4945" s="2"/>
    </row>
    <row r="4946" spans="4:5" x14ac:dyDescent="0.25">
      <c r="D4946" s="2"/>
      <c r="E4946" s="2"/>
    </row>
    <row r="4947" spans="4:5" x14ac:dyDescent="0.25">
      <c r="D4947" s="2"/>
      <c r="E4947" s="2"/>
    </row>
    <row r="4948" spans="4:5" x14ac:dyDescent="0.25">
      <c r="D4948" s="2"/>
      <c r="E4948" s="2"/>
    </row>
    <row r="4949" spans="4:5" x14ac:dyDescent="0.25">
      <c r="D4949" s="2"/>
      <c r="E4949" s="2"/>
    </row>
    <row r="4950" spans="4:5" x14ac:dyDescent="0.25">
      <c r="D4950" s="2"/>
      <c r="E4950" s="2"/>
    </row>
    <row r="4951" spans="4:5" x14ac:dyDescent="0.25">
      <c r="D4951" s="2"/>
      <c r="E4951" s="2"/>
    </row>
    <row r="4952" spans="4:5" x14ac:dyDescent="0.25">
      <c r="D4952" s="2"/>
      <c r="E4952" s="2"/>
    </row>
    <row r="4953" spans="4:5" x14ac:dyDescent="0.25">
      <c r="D4953" s="2"/>
      <c r="E4953" s="2"/>
    </row>
    <row r="4954" spans="4:5" x14ac:dyDescent="0.25">
      <c r="D4954" s="2"/>
      <c r="E4954" s="2"/>
    </row>
    <row r="4955" spans="4:5" x14ac:dyDescent="0.25">
      <c r="D4955" s="2"/>
      <c r="E4955" s="2"/>
    </row>
    <row r="4956" spans="4:5" x14ac:dyDescent="0.25">
      <c r="D4956" s="2"/>
      <c r="E4956" s="2"/>
    </row>
    <row r="4957" spans="4:5" x14ac:dyDescent="0.25">
      <c r="D4957" s="2"/>
      <c r="E4957" s="2"/>
    </row>
    <row r="4958" spans="4:5" x14ac:dyDescent="0.25">
      <c r="D4958" s="2"/>
      <c r="E4958" s="2"/>
    </row>
    <row r="4959" spans="4:5" x14ac:dyDescent="0.25">
      <c r="D4959" s="2"/>
      <c r="E4959" s="2"/>
    </row>
    <row r="4960" spans="4:5" x14ac:dyDescent="0.25">
      <c r="D4960" s="2"/>
      <c r="E4960" s="2"/>
    </row>
    <row r="4961" spans="4:5" x14ac:dyDescent="0.25">
      <c r="D4961" s="2"/>
      <c r="E4961" s="2"/>
    </row>
    <row r="4962" spans="4:5" x14ac:dyDescent="0.25">
      <c r="D4962" s="2"/>
      <c r="E4962" s="2"/>
    </row>
    <row r="4963" spans="4:5" x14ac:dyDescent="0.25">
      <c r="D4963" s="2"/>
      <c r="E4963" s="2"/>
    </row>
    <row r="4964" spans="4:5" x14ac:dyDescent="0.25">
      <c r="D4964" s="2"/>
      <c r="E4964" s="2"/>
    </row>
    <row r="4965" spans="4:5" x14ac:dyDescent="0.25">
      <c r="D4965" s="2"/>
      <c r="E4965" s="2"/>
    </row>
    <row r="4966" spans="4:5" x14ac:dyDescent="0.25">
      <c r="D4966" s="2"/>
      <c r="E4966" s="2"/>
    </row>
    <row r="4967" spans="4:5" x14ac:dyDescent="0.25">
      <c r="D4967" s="2"/>
      <c r="E4967" s="2"/>
    </row>
    <row r="4968" spans="4:5" x14ac:dyDescent="0.25">
      <c r="D4968" s="2"/>
      <c r="E4968" s="2"/>
    </row>
    <row r="4969" spans="4:5" x14ac:dyDescent="0.25">
      <c r="D4969" s="2"/>
      <c r="E4969" s="2"/>
    </row>
    <row r="4970" spans="4:5" x14ac:dyDescent="0.25">
      <c r="D4970" s="2"/>
      <c r="E4970" s="2"/>
    </row>
    <row r="4971" spans="4:5" x14ac:dyDescent="0.25">
      <c r="D4971" s="2"/>
      <c r="E4971" s="2"/>
    </row>
    <row r="4972" spans="4:5" x14ac:dyDescent="0.25">
      <c r="D4972" s="2"/>
      <c r="E4972" s="2"/>
    </row>
    <row r="4973" spans="4:5" x14ac:dyDescent="0.25">
      <c r="D4973" s="2"/>
      <c r="E4973" s="2"/>
    </row>
    <row r="4974" spans="4:5" x14ac:dyDescent="0.25">
      <c r="D4974" s="2"/>
      <c r="E4974" s="2"/>
    </row>
    <row r="4975" spans="4:5" x14ac:dyDescent="0.25">
      <c r="D4975" s="2"/>
      <c r="E4975" s="2"/>
    </row>
    <row r="4976" spans="4:5" x14ac:dyDescent="0.25">
      <c r="D4976" s="2"/>
      <c r="E4976" s="2"/>
    </row>
    <row r="4977" spans="4:5" x14ac:dyDescent="0.25">
      <c r="D4977" s="2"/>
      <c r="E4977" s="2"/>
    </row>
    <row r="4978" spans="4:5" x14ac:dyDescent="0.25">
      <c r="D4978" s="2"/>
      <c r="E4978" s="2"/>
    </row>
    <row r="4979" spans="4:5" x14ac:dyDescent="0.25">
      <c r="D4979" s="2"/>
      <c r="E4979" s="2"/>
    </row>
    <row r="4980" spans="4:5" x14ac:dyDescent="0.25">
      <c r="D4980" s="2"/>
      <c r="E4980" s="2"/>
    </row>
    <row r="4981" spans="4:5" x14ac:dyDescent="0.25">
      <c r="D4981" s="2"/>
      <c r="E4981" s="2"/>
    </row>
    <row r="4982" spans="4:5" x14ac:dyDescent="0.25">
      <c r="D4982" s="2"/>
      <c r="E4982" s="2"/>
    </row>
    <row r="4983" spans="4:5" x14ac:dyDescent="0.25">
      <c r="D4983" s="2"/>
      <c r="E4983" s="2"/>
    </row>
    <row r="4984" spans="4:5" x14ac:dyDescent="0.25">
      <c r="D4984" s="2"/>
      <c r="E4984" s="2"/>
    </row>
    <row r="4985" spans="4:5" x14ac:dyDescent="0.25">
      <c r="D4985" s="2"/>
      <c r="E4985" s="2"/>
    </row>
    <row r="4986" spans="4:5" x14ac:dyDescent="0.25">
      <c r="D4986" s="2"/>
      <c r="E4986" s="2"/>
    </row>
    <row r="4987" spans="4:5" x14ac:dyDescent="0.25">
      <c r="D4987" s="2"/>
      <c r="E4987" s="2"/>
    </row>
    <row r="4988" spans="4:5" x14ac:dyDescent="0.25">
      <c r="D4988" s="2"/>
      <c r="E4988" s="2"/>
    </row>
    <row r="4989" spans="4:5" x14ac:dyDescent="0.25">
      <c r="D4989" s="2"/>
      <c r="E4989" s="2"/>
    </row>
    <row r="4990" spans="4:5" x14ac:dyDescent="0.25">
      <c r="D4990" s="2"/>
      <c r="E4990" s="2"/>
    </row>
    <row r="4991" spans="4:5" x14ac:dyDescent="0.25">
      <c r="D4991" s="2"/>
      <c r="E4991" s="2"/>
    </row>
    <row r="4992" spans="4:5" x14ac:dyDescent="0.25">
      <c r="E4992" s="2"/>
    </row>
    <row r="4993" spans="5:5" x14ac:dyDescent="0.25">
      <c r="E4993" s="2"/>
    </row>
    <row r="4994" spans="5:5" x14ac:dyDescent="0.25">
      <c r="E4994" s="2"/>
    </row>
    <row r="4995" spans="5:5" x14ac:dyDescent="0.25">
      <c r="E4995" s="2"/>
    </row>
    <row r="4996" spans="5:5" x14ac:dyDescent="0.25">
      <c r="E4996" s="2"/>
    </row>
    <row r="4997" spans="5:5" x14ac:dyDescent="0.25">
      <c r="E4997" s="2"/>
    </row>
    <row r="4998" spans="5:5" x14ac:dyDescent="0.25">
      <c r="E4998" s="2"/>
    </row>
    <row r="4999" spans="5:5" x14ac:dyDescent="0.25">
      <c r="E4999" s="2"/>
    </row>
    <row r="5000" spans="5:5" x14ac:dyDescent="0.25">
      <c r="E5000" s="2"/>
    </row>
    <row r="5001" spans="5:5" x14ac:dyDescent="0.25">
      <c r="E5001" s="2"/>
    </row>
    <row r="5002" spans="5:5" x14ac:dyDescent="0.25">
      <c r="E5002" s="2"/>
    </row>
    <row r="5003" spans="5:5" x14ac:dyDescent="0.25">
      <c r="E5003" s="2"/>
    </row>
    <row r="5004" spans="5:5" x14ac:dyDescent="0.25">
      <c r="E5004" s="2"/>
    </row>
    <row r="5005" spans="5:5" x14ac:dyDescent="0.25">
      <c r="E5005" s="2"/>
    </row>
    <row r="5006" spans="5:5" x14ac:dyDescent="0.25">
      <c r="E5006" s="2"/>
    </row>
    <row r="5007" spans="5:5" x14ac:dyDescent="0.25">
      <c r="E5007" s="2"/>
    </row>
    <row r="5008" spans="5:5" x14ac:dyDescent="0.25">
      <c r="E5008" s="2"/>
    </row>
    <row r="5009" spans="5:5" x14ac:dyDescent="0.25">
      <c r="E5009" s="2"/>
    </row>
    <row r="5010" spans="5:5" x14ac:dyDescent="0.25">
      <c r="E5010" s="2"/>
    </row>
    <row r="5011" spans="5:5" x14ac:dyDescent="0.25">
      <c r="E5011" s="2"/>
    </row>
    <row r="5012" spans="5:5" x14ac:dyDescent="0.25">
      <c r="E5012" s="2"/>
    </row>
    <row r="5013" spans="5:5" x14ac:dyDescent="0.25">
      <c r="E5013" s="2"/>
    </row>
    <row r="5014" spans="5:5" x14ac:dyDescent="0.25">
      <c r="E5014" s="2"/>
    </row>
    <row r="5015" spans="5:5" x14ac:dyDescent="0.25">
      <c r="E5015" s="2"/>
    </row>
    <row r="5016" spans="5:5" x14ac:dyDescent="0.25">
      <c r="E5016" s="2"/>
    </row>
    <row r="5017" spans="5:5" x14ac:dyDescent="0.25">
      <c r="E5017" s="2"/>
    </row>
    <row r="5018" spans="5:5" x14ac:dyDescent="0.25">
      <c r="E5018" s="2"/>
    </row>
    <row r="5019" spans="5:5" x14ac:dyDescent="0.25">
      <c r="E5019" s="2"/>
    </row>
    <row r="5020" spans="5:5" x14ac:dyDescent="0.25">
      <c r="E5020" s="2"/>
    </row>
    <row r="5021" spans="5:5" x14ac:dyDescent="0.25">
      <c r="E5021" s="2"/>
    </row>
    <row r="5022" spans="5:5" x14ac:dyDescent="0.25">
      <c r="E5022" s="2"/>
    </row>
    <row r="5023" spans="5:5" x14ac:dyDescent="0.25">
      <c r="E5023" s="2"/>
    </row>
    <row r="5024" spans="5:5" x14ac:dyDescent="0.25">
      <c r="E5024" s="2"/>
    </row>
    <row r="5025" spans="5:5" x14ac:dyDescent="0.25">
      <c r="E5025" s="2"/>
    </row>
    <row r="5026" spans="5:5" x14ac:dyDescent="0.25">
      <c r="E5026" s="2"/>
    </row>
    <row r="5027" spans="5:5" x14ac:dyDescent="0.25">
      <c r="E5027" s="2"/>
    </row>
    <row r="5028" spans="5:5" x14ac:dyDescent="0.25">
      <c r="E5028" s="2"/>
    </row>
    <row r="5029" spans="5:5" x14ac:dyDescent="0.25">
      <c r="E5029" s="2"/>
    </row>
    <row r="5030" spans="5:5" x14ac:dyDescent="0.25">
      <c r="E5030" s="2"/>
    </row>
    <row r="5031" spans="5:5" x14ac:dyDescent="0.25">
      <c r="E5031" s="2"/>
    </row>
    <row r="5032" spans="5:5" x14ac:dyDescent="0.25">
      <c r="E5032" s="2"/>
    </row>
    <row r="5033" spans="5:5" x14ac:dyDescent="0.25">
      <c r="E5033" s="2"/>
    </row>
    <row r="5034" spans="5:5" x14ac:dyDescent="0.25">
      <c r="E5034" s="2"/>
    </row>
    <row r="5035" spans="5:5" x14ac:dyDescent="0.25">
      <c r="E5035" s="2"/>
    </row>
    <row r="5036" spans="5:5" x14ac:dyDescent="0.25">
      <c r="E5036" s="2"/>
    </row>
    <row r="5037" spans="5:5" x14ac:dyDescent="0.25">
      <c r="E5037" s="2"/>
    </row>
    <row r="5038" spans="5:5" x14ac:dyDescent="0.25">
      <c r="E5038" s="2"/>
    </row>
    <row r="5039" spans="5:5" x14ac:dyDescent="0.25">
      <c r="E5039" s="2"/>
    </row>
    <row r="5040" spans="5:5" x14ac:dyDescent="0.25">
      <c r="E5040" s="2"/>
    </row>
    <row r="5041" spans="5:5" x14ac:dyDescent="0.25">
      <c r="E5041" s="2"/>
    </row>
    <row r="5042" spans="5:5" x14ac:dyDescent="0.25">
      <c r="E5042" s="2"/>
    </row>
    <row r="5043" spans="5:5" x14ac:dyDescent="0.25">
      <c r="E5043" s="2"/>
    </row>
    <row r="5044" spans="5:5" x14ac:dyDescent="0.25">
      <c r="E5044" s="2"/>
    </row>
    <row r="5045" spans="5:5" x14ac:dyDescent="0.25">
      <c r="E5045" s="2"/>
    </row>
    <row r="5046" spans="5:5" x14ac:dyDescent="0.25">
      <c r="E5046" s="2"/>
    </row>
    <row r="5047" spans="5:5" x14ac:dyDescent="0.25">
      <c r="E5047" s="2"/>
    </row>
    <row r="5048" spans="5:5" x14ac:dyDescent="0.25">
      <c r="E5048" s="2"/>
    </row>
    <row r="5049" spans="5:5" x14ac:dyDescent="0.25">
      <c r="E5049" s="2"/>
    </row>
    <row r="5050" spans="5:5" x14ac:dyDescent="0.25">
      <c r="E5050" s="2"/>
    </row>
    <row r="5051" spans="5:5" x14ac:dyDescent="0.25">
      <c r="E5051" s="2"/>
    </row>
    <row r="5052" spans="5:5" x14ac:dyDescent="0.25">
      <c r="E5052" s="2"/>
    </row>
    <row r="5053" spans="5:5" x14ac:dyDescent="0.25">
      <c r="E5053" s="2"/>
    </row>
    <row r="5054" spans="5:5" x14ac:dyDescent="0.25">
      <c r="E5054" s="2"/>
    </row>
    <row r="5055" spans="5:5" x14ac:dyDescent="0.25">
      <c r="E5055" s="2"/>
    </row>
    <row r="5056" spans="5:5" x14ac:dyDescent="0.25">
      <c r="E5056" s="2"/>
    </row>
    <row r="5057" spans="5:5" x14ac:dyDescent="0.25">
      <c r="E5057" s="2"/>
    </row>
    <row r="5058" spans="5:5" x14ac:dyDescent="0.25">
      <c r="E5058" s="2"/>
    </row>
    <row r="5059" spans="5:5" x14ac:dyDescent="0.25">
      <c r="E5059" s="2"/>
    </row>
    <row r="5060" spans="5:5" x14ac:dyDescent="0.25">
      <c r="E5060" s="2"/>
    </row>
    <row r="5061" spans="5:5" x14ac:dyDescent="0.25">
      <c r="E5061" s="2"/>
    </row>
    <row r="5062" spans="5:5" x14ac:dyDescent="0.25">
      <c r="E5062" s="2"/>
    </row>
    <row r="5063" spans="5:5" x14ac:dyDescent="0.25">
      <c r="E5063" s="2"/>
    </row>
    <row r="5064" spans="5:5" x14ac:dyDescent="0.25">
      <c r="E5064" s="2"/>
    </row>
    <row r="5065" spans="5:5" x14ac:dyDescent="0.25">
      <c r="E5065" s="2"/>
    </row>
    <row r="5066" spans="5:5" x14ac:dyDescent="0.25">
      <c r="E5066" s="2"/>
    </row>
    <row r="5067" spans="5:5" x14ac:dyDescent="0.25">
      <c r="E5067" s="2"/>
    </row>
    <row r="5068" spans="5:5" x14ac:dyDescent="0.25">
      <c r="E5068" s="2"/>
    </row>
    <row r="5069" spans="5:5" x14ac:dyDescent="0.25">
      <c r="E5069" s="2"/>
    </row>
    <row r="5070" spans="5:5" x14ac:dyDescent="0.25">
      <c r="E5070" s="2"/>
    </row>
    <row r="5071" spans="5:5" x14ac:dyDescent="0.25">
      <c r="E5071" s="2"/>
    </row>
    <row r="5072" spans="5:5" x14ac:dyDescent="0.25">
      <c r="E5072" s="2"/>
    </row>
    <row r="5073" spans="5:5" x14ac:dyDescent="0.25">
      <c r="E5073" s="2"/>
    </row>
    <row r="5074" spans="5:5" x14ac:dyDescent="0.25">
      <c r="E5074" s="2"/>
    </row>
    <row r="5075" spans="5:5" x14ac:dyDescent="0.25">
      <c r="E5075" s="2"/>
    </row>
    <row r="5076" spans="5:5" x14ac:dyDescent="0.25">
      <c r="E5076" s="2"/>
    </row>
    <row r="5077" spans="5:5" x14ac:dyDescent="0.25">
      <c r="E5077" s="2"/>
    </row>
    <row r="5078" spans="5:5" x14ac:dyDescent="0.25">
      <c r="E5078" s="2"/>
    </row>
    <row r="5079" spans="5:5" x14ac:dyDescent="0.25">
      <c r="E5079" s="2"/>
    </row>
    <row r="5080" spans="5:5" x14ac:dyDescent="0.25">
      <c r="E5080" s="2"/>
    </row>
    <row r="5081" spans="5:5" x14ac:dyDescent="0.25">
      <c r="E5081" s="2"/>
    </row>
    <row r="5082" spans="5:5" x14ac:dyDescent="0.25">
      <c r="E5082" s="2"/>
    </row>
    <row r="5083" spans="5:5" x14ac:dyDescent="0.25">
      <c r="E5083" s="2"/>
    </row>
    <row r="5084" spans="5:5" x14ac:dyDescent="0.25">
      <c r="E5084" s="2"/>
    </row>
    <row r="5085" spans="5:5" x14ac:dyDescent="0.25">
      <c r="E5085" s="2"/>
    </row>
    <row r="5086" spans="5:5" x14ac:dyDescent="0.25">
      <c r="E5086" s="2"/>
    </row>
    <row r="5087" spans="5:5" x14ac:dyDescent="0.25">
      <c r="E5087" s="2"/>
    </row>
    <row r="5088" spans="5:5" x14ac:dyDescent="0.25">
      <c r="E5088" s="2"/>
    </row>
    <row r="5089" spans="5:5" x14ac:dyDescent="0.25">
      <c r="E5089" s="2"/>
    </row>
    <row r="5090" spans="5:5" x14ac:dyDescent="0.25">
      <c r="E5090" s="2"/>
    </row>
    <row r="5091" spans="5:5" x14ac:dyDescent="0.25">
      <c r="E5091" s="2"/>
    </row>
    <row r="5092" spans="5:5" x14ac:dyDescent="0.25">
      <c r="E5092" s="2"/>
    </row>
    <row r="5093" spans="5:5" x14ac:dyDescent="0.25">
      <c r="E5093" s="2"/>
    </row>
    <row r="5094" spans="5:5" x14ac:dyDescent="0.25">
      <c r="E5094" s="2"/>
    </row>
    <row r="5095" spans="5:5" x14ac:dyDescent="0.25">
      <c r="E5095" s="2"/>
    </row>
    <row r="5096" spans="5:5" x14ac:dyDescent="0.25">
      <c r="E5096" s="2"/>
    </row>
    <row r="5097" spans="5:5" x14ac:dyDescent="0.25">
      <c r="E5097" s="2"/>
    </row>
    <row r="5098" spans="5:5" x14ac:dyDescent="0.25">
      <c r="E5098" s="2"/>
    </row>
    <row r="5099" spans="5:5" x14ac:dyDescent="0.25">
      <c r="E5099" s="2"/>
    </row>
    <row r="5100" spans="5:5" x14ac:dyDescent="0.25">
      <c r="E5100" s="2"/>
    </row>
    <row r="5101" spans="5:5" x14ac:dyDescent="0.25">
      <c r="E5101" s="2"/>
    </row>
    <row r="5102" spans="5:5" x14ac:dyDescent="0.25">
      <c r="E5102" s="2"/>
    </row>
    <row r="5103" spans="5:5" x14ac:dyDescent="0.25">
      <c r="E5103" s="2"/>
    </row>
    <row r="5104" spans="5:5" x14ac:dyDescent="0.25">
      <c r="E5104" s="2"/>
    </row>
    <row r="5105" spans="5:5" x14ac:dyDescent="0.25">
      <c r="E5105" s="2"/>
    </row>
    <row r="5106" spans="5:5" x14ac:dyDescent="0.25">
      <c r="E5106" s="2"/>
    </row>
    <row r="5107" spans="5:5" x14ac:dyDescent="0.25">
      <c r="E5107" s="2"/>
    </row>
    <row r="5108" spans="5:5" x14ac:dyDescent="0.25">
      <c r="E5108" s="2"/>
    </row>
    <row r="5109" spans="5:5" x14ac:dyDescent="0.25">
      <c r="E5109" s="2"/>
    </row>
    <row r="5110" spans="5:5" x14ac:dyDescent="0.25">
      <c r="E5110" s="2"/>
    </row>
    <row r="5111" spans="5:5" x14ac:dyDescent="0.25">
      <c r="E5111" s="2"/>
    </row>
    <row r="5112" spans="5:5" x14ac:dyDescent="0.25">
      <c r="E5112" s="2"/>
    </row>
    <row r="5113" spans="5:5" x14ac:dyDescent="0.25">
      <c r="E5113" s="2"/>
    </row>
    <row r="5114" spans="5:5" x14ac:dyDescent="0.25">
      <c r="E5114" s="2"/>
    </row>
    <row r="5115" spans="5:5" x14ac:dyDescent="0.25">
      <c r="E5115" s="2"/>
    </row>
    <row r="5116" spans="5:5" x14ac:dyDescent="0.25">
      <c r="E5116" s="2"/>
    </row>
    <row r="5117" spans="5:5" x14ac:dyDescent="0.25">
      <c r="E5117" s="2"/>
    </row>
    <row r="5118" spans="5:5" x14ac:dyDescent="0.25">
      <c r="E5118" s="2"/>
    </row>
    <row r="5119" spans="5:5" x14ac:dyDescent="0.25">
      <c r="E5119" s="2"/>
    </row>
    <row r="5120" spans="5:5" x14ac:dyDescent="0.25">
      <c r="E5120" s="2"/>
    </row>
    <row r="5121" spans="5:5" x14ac:dyDescent="0.25">
      <c r="E5121" s="2"/>
    </row>
    <row r="5122" spans="5:5" x14ac:dyDescent="0.25">
      <c r="E5122" s="2"/>
    </row>
    <row r="5123" spans="5:5" x14ac:dyDescent="0.25">
      <c r="E5123" s="2"/>
    </row>
    <row r="5124" spans="5:5" x14ac:dyDescent="0.25">
      <c r="E5124" s="2"/>
    </row>
    <row r="5125" spans="5:5" x14ac:dyDescent="0.25">
      <c r="E5125" s="2"/>
    </row>
    <row r="5126" spans="5:5" x14ac:dyDescent="0.25">
      <c r="E5126" s="2"/>
    </row>
    <row r="5127" spans="5:5" x14ac:dyDescent="0.25">
      <c r="E5127" s="2"/>
    </row>
    <row r="5128" spans="5:5" x14ac:dyDescent="0.25">
      <c r="E5128" s="2"/>
    </row>
    <row r="5129" spans="5:5" x14ac:dyDescent="0.25">
      <c r="E5129" s="2"/>
    </row>
    <row r="5130" spans="5:5" x14ac:dyDescent="0.25">
      <c r="E5130" s="2"/>
    </row>
    <row r="5131" spans="5:5" x14ac:dyDescent="0.25">
      <c r="E5131" s="2"/>
    </row>
    <row r="5132" spans="5:5" x14ac:dyDescent="0.25">
      <c r="E5132" s="2"/>
    </row>
    <row r="5133" spans="5:5" x14ac:dyDescent="0.25">
      <c r="E5133" s="2"/>
    </row>
    <row r="5134" spans="5:5" x14ac:dyDescent="0.25">
      <c r="E5134" s="2"/>
    </row>
    <row r="5135" spans="5:5" x14ac:dyDescent="0.25">
      <c r="E5135" s="2"/>
    </row>
    <row r="5136" spans="5:5" x14ac:dyDescent="0.25">
      <c r="E5136" s="2"/>
    </row>
    <row r="5137" spans="5:5" x14ac:dyDescent="0.25">
      <c r="E5137" s="2"/>
    </row>
    <row r="5138" spans="5:5" x14ac:dyDescent="0.25">
      <c r="E5138" s="2"/>
    </row>
    <row r="5139" spans="5:5" x14ac:dyDescent="0.25">
      <c r="E5139" s="2"/>
    </row>
    <row r="5140" spans="5:5" x14ac:dyDescent="0.25">
      <c r="E5140" s="2"/>
    </row>
    <row r="5141" spans="5:5" x14ac:dyDescent="0.25">
      <c r="E5141" s="2"/>
    </row>
    <row r="5142" spans="5:5" x14ac:dyDescent="0.25">
      <c r="E5142" s="2"/>
    </row>
    <row r="5143" spans="5:5" x14ac:dyDescent="0.25">
      <c r="E5143" s="2"/>
    </row>
    <row r="5144" spans="5:5" x14ac:dyDescent="0.25">
      <c r="E5144" s="2"/>
    </row>
    <row r="5145" spans="5:5" x14ac:dyDescent="0.25">
      <c r="E5145" s="2"/>
    </row>
    <row r="5146" spans="5:5" x14ac:dyDescent="0.25">
      <c r="E5146" s="2"/>
    </row>
    <row r="5147" spans="5:5" x14ac:dyDescent="0.25">
      <c r="E5147" s="2"/>
    </row>
    <row r="5148" spans="5:5" x14ac:dyDescent="0.25">
      <c r="E5148" s="2"/>
    </row>
    <row r="5149" spans="5:5" x14ac:dyDescent="0.25">
      <c r="E5149" s="2"/>
    </row>
    <row r="5150" spans="5:5" x14ac:dyDescent="0.25">
      <c r="E5150" s="2"/>
    </row>
    <row r="5151" spans="5:5" x14ac:dyDescent="0.25">
      <c r="E5151" s="2"/>
    </row>
    <row r="5152" spans="5:5" x14ac:dyDescent="0.25">
      <c r="E5152" s="2"/>
    </row>
    <row r="5153" spans="5:5" x14ac:dyDescent="0.25">
      <c r="E5153" s="2"/>
    </row>
    <row r="5154" spans="5:5" x14ac:dyDescent="0.25">
      <c r="E5154" s="2"/>
    </row>
    <row r="5155" spans="5:5" x14ac:dyDescent="0.25">
      <c r="E5155" s="2"/>
    </row>
    <row r="5156" spans="5:5" x14ac:dyDescent="0.25">
      <c r="E5156" s="2"/>
    </row>
    <row r="5157" spans="5:5" x14ac:dyDescent="0.25">
      <c r="E5157" s="2"/>
    </row>
    <row r="5158" spans="5:5" x14ac:dyDescent="0.25">
      <c r="E5158" s="2"/>
    </row>
    <row r="5159" spans="5:5" x14ac:dyDescent="0.25">
      <c r="E5159" s="2"/>
    </row>
    <row r="5160" spans="5:5" x14ac:dyDescent="0.25">
      <c r="E5160" s="2"/>
    </row>
    <row r="5161" spans="5:5" x14ac:dyDescent="0.25">
      <c r="E5161" s="2"/>
    </row>
    <row r="5162" spans="5:5" x14ac:dyDescent="0.25">
      <c r="E5162" s="2"/>
    </row>
    <row r="5163" spans="5:5" x14ac:dyDescent="0.25">
      <c r="E5163" s="2"/>
    </row>
    <row r="5164" spans="5:5" x14ac:dyDescent="0.25">
      <c r="E5164" s="2"/>
    </row>
    <row r="5165" spans="5:5" x14ac:dyDescent="0.25">
      <c r="E5165" s="2"/>
    </row>
    <row r="5166" spans="5:5" x14ac:dyDescent="0.25">
      <c r="E5166" s="2"/>
    </row>
    <row r="5167" spans="5:5" x14ac:dyDescent="0.25">
      <c r="E5167" s="2"/>
    </row>
    <row r="5168" spans="5:5" x14ac:dyDescent="0.25">
      <c r="E5168" s="2"/>
    </row>
    <row r="5169" spans="5:5" x14ac:dyDescent="0.25">
      <c r="E5169" s="2"/>
    </row>
    <row r="5170" spans="5:5" x14ac:dyDescent="0.25">
      <c r="E5170" s="2"/>
    </row>
    <row r="5171" spans="5:5" x14ac:dyDescent="0.25">
      <c r="E5171" s="2"/>
    </row>
    <row r="5172" spans="5:5" x14ac:dyDescent="0.25">
      <c r="E5172" s="2"/>
    </row>
    <row r="5173" spans="5:5" x14ac:dyDescent="0.25">
      <c r="E5173" s="2"/>
    </row>
    <row r="5174" spans="5:5" x14ac:dyDescent="0.25">
      <c r="E5174" s="2"/>
    </row>
    <row r="5175" spans="5:5" x14ac:dyDescent="0.25">
      <c r="E5175" s="2"/>
    </row>
    <row r="5176" spans="5:5" x14ac:dyDescent="0.25">
      <c r="E5176" s="2"/>
    </row>
    <row r="5177" spans="5:5" x14ac:dyDescent="0.25">
      <c r="E5177" s="2"/>
    </row>
    <row r="5178" spans="5:5" x14ac:dyDescent="0.25">
      <c r="E5178" s="2"/>
    </row>
    <row r="5179" spans="5:5" x14ac:dyDescent="0.25">
      <c r="E5179" s="2"/>
    </row>
    <row r="5180" spans="5:5" x14ac:dyDescent="0.25">
      <c r="E5180" s="2"/>
    </row>
    <row r="5181" spans="5:5" x14ac:dyDescent="0.25">
      <c r="E5181" s="2"/>
    </row>
    <row r="5182" spans="5:5" x14ac:dyDescent="0.25">
      <c r="E5182" s="2"/>
    </row>
    <row r="5183" spans="5:5" x14ac:dyDescent="0.25">
      <c r="E5183" s="2"/>
    </row>
    <row r="5184" spans="5:5" x14ac:dyDescent="0.25">
      <c r="E5184" s="2"/>
    </row>
    <row r="5185" spans="5:5" x14ac:dyDescent="0.25">
      <c r="E5185" s="2"/>
    </row>
    <row r="5186" spans="5:5" x14ac:dyDescent="0.25">
      <c r="E5186" s="2"/>
    </row>
    <row r="5187" spans="5:5" x14ac:dyDescent="0.25">
      <c r="E5187" s="2"/>
    </row>
    <row r="5188" spans="5:5" x14ac:dyDescent="0.25">
      <c r="E5188" s="2"/>
    </row>
    <row r="5189" spans="5:5" x14ac:dyDescent="0.25">
      <c r="E5189" s="2"/>
    </row>
    <row r="5190" spans="5:5" x14ac:dyDescent="0.25">
      <c r="E5190" s="2"/>
    </row>
    <row r="5191" spans="5:5" x14ac:dyDescent="0.25">
      <c r="E5191" s="2"/>
    </row>
    <row r="5192" spans="5:5" x14ac:dyDescent="0.25">
      <c r="E5192" s="2"/>
    </row>
    <row r="5193" spans="5:5" x14ac:dyDescent="0.25">
      <c r="E5193" s="2"/>
    </row>
    <row r="5194" spans="5:5" x14ac:dyDescent="0.25">
      <c r="E5194" s="2"/>
    </row>
    <row r="5195" spans="5:5" x14ac:dyDescent="0.25">
      <c r="E5195" s="2"/>
    </row>
    <row r="5196" spans="5:5" x14ac:dyDescent="0.25">
      <c r="E5196" s="2"/>
    </row>
    <row r="5197" spans="5:5" x14ac:dyDescent="0.25">
      <c r="E5197" s="2"/>
    </row>
    <row r="5198" spans="5:5" x14ac:dyDescent="0.25">
      <c r="E5198" s="2"/>
    </row>
    <row r="5199" spans="5:5" x14ac:dyDescent="0.25">
      <c r="E5199" s="2"/>
    </row>
    <row r="5200" spans="5:5" x14ac:dyDescent="0.25">
      <c r="E5200" s="2"/>
    </row>
    <row r="5201" spans="5:5" x14ac:dyDescent="0.25">
      <c r="E5201" s="2"/>
    </row>
    <row r="5202" spans="5:5" x14ac:dyDescent="0.25">
      <c r="E5202" s="2"/>
    </row>
    <row r="5203" spans="5:5" x14ac:dyDescent="0.25">
      <c r="E5203" s="2"/>
    </row>
    <row r="5204" spans="5:5" x14ac:dyDescent="0.25">
      <c r="E5204" s="2"/>
    </row>
    <row r="5205" spans="5:5" x14ac:dyDescent="0.25">
      <c r="E5205" s="2"/>
    </row>
    <row r="5206" spans="5:5" x14ac:dyDescent="0.25">
      <c r="E5206" s="2"/>
    </row>
    <row r="5207" spans="5:5" x14ac:dyDescent="0.25">
      <c r="E5207" s="2"/>
    </row>
    <row r="5208" spans="5:5" x14ac:dyDescent="0.25">
      <c r="E5208" s="2"/>
    </row>
    <row r="5209" spans="5:5" x14ac:dyDescent="0.25">
      <c r="E5209" s="2"/>
    </row>
    <row r="5210" spans="5:5" x14ac:dyDescent="0.25">
      <c r="E5210" s="2"/>
    </row>
    <row r="5211" spans="5:5" x14ac:dyDescent="0.25">
      <c r="E5211" s="2"/>
    </row>
    <row r="5212" spans="5:5" x14ac:dyDescent="0.25">
      <c r="E5212" s="2"/>
    </row>
    <row r="5213" spans="5:5" x14ac:dyDescent="0.25">
      <c r="E5213" s="2"/>
    </row>
    <row r="5214" spans="5:5" x14ac:dyDescent="0.25">
      <c r="E5214" s="2"/>
    </row>
    <row r="5215" spans="5:5" x14ac:dyDescent="0.25">
      <c r="E5215" s="2"/>
    </row>
    <row r="5216" spans="5:5" x14ac:dyDescent="0.25">
      <c r="E5216" s="2"/>
    </row>
    <row r="5217" spans="5:5" x14ac:dyDescent="0.25">
      <c r="E5217" s="2"/>
    </row>
    <row r="5218" spans="5:5" x14ac:dyDescent="0.25">
      <c r="E5218" s="2"/>
    </row>
    <row r="5219" spans="5:5" x14ac:dyDescent="0.25">
      <c r="E5219" s="2"/>
    </row>
    <row r="5220" spans="5:5" x14ac:dyDescent="0.25">
      <c r="E5220" s="2"/>
    </row>
    <row r="5221" spans="5:5" x14ac:dyDescent="0.25">
      <c r="E5221" s="2"/>
    </row>
    <row r="5222" spans="5:5" x14ac:dyDescent="0.25">
      <c r="E5222" s="2"/>
    </row>
    <row r="5223" spans="5:5" x14ac:dyDescent="0.25">
      <c r="E5223" s="2"/>
    </row>
    <row r="5224" spans="5:5" x14ac:dyDescent="0.25">
      <c r="E5224" s="2"/>
    </row>
    <row r="5225" spans="5:5" x14ac:dyDescent="0.25">
      <c r="E5225" s="2"/>
    </row>
    <row r="5226" spans="5:5" x14ac:dyDescent="0.25">
      <c r="E5226" s="2"/>
    </row>
    <row r="5227" spans="5:5" x14ac:dyDescent="0.25">
      <c r="E5227" s="2"/>
    </row>
    <row r="5228" spans="5:5" x14ac:dyDescent="0.25">
      <c r="E5228" s="2"/>
    </row>
    <row r="5229" spans="5:5" x14ac:dyDescent="0.25">
      <c r="E5229" s="2"/>
    </row>
    <row r="5230" spans="5:5" x14ac:dyDescent="0.25">
      <c r="E5230" s="2"/>
    </row>
    <row r="5231" spans="5:5" x14ac:dyDescent="0.25">
      <c r="E5231" s="2"/>
    </row>
    <row r="5232" spans="5:5" x14ac:dyDescent="0.25">
      <c r="E5232" s="2"/>
    </row>
    <row r="5233" spans="5:5" x14ac:dyDescent="0.25">
      <c r="E5233" s="2"/>
    </row>
    <row r="5234" spans="5:5" x14ac:dyDescent="0.25">
      <c r="E5234" s="2"/>
    </row>
    <row r="5235" spans="5:5" x14ac:dyDescent="0.25">
      <c r="E5235" s="2"/>
    </row>
    <row r="5236" spans="5:5" x14ac:dyDescent="0.25">
      <c r="E5236" s="2"/>
    </row>
    <row r="5237" spans="5:5" x14ac:dyDescent="0.25">
      <c r="E5237" s="2"/>
    </row>
    <row r="5238" spans="5:5" x14ac:dyDescent="0.25">
      <c r="E5238" s="2"/>
    </row>
    <row r="5239" spans="5:5" x14ac:dyDescent="0.25">
      <c r="E5239" s="2"/>
    </row>
    <row r="5240" spans="5:5" x14ac:dyDescent="0.25">
      <c r="E5240" s="2"/>
    </row>
    <row r="5241" spans="5:5" x14ac:dyDescent="0.25">
      <c r="E5241" s="2"/>
    </row>
    <row r="5242" spans="5:5" x14ac:dyDescent="0.25">
      <c r="E5242" s="2"/>
    </row>
    <row r="5243" spans="5:5" x14ac:dyDescent="0.25">
      <c r="E5243" s="2"/>
    </row>
    <row r="5244" spans="5:5" x14ac:dyDescent="0.25">
      <c r="E5244" s="2"/>
    </row>
    <row r="5245" spans="5:5" x14ac:dyDescent="0.25">
      <c r="E5245" s="2"/>
    </row>
    <row r="5246" spans="5:5" x14ac:dyDescent="0.25">
      <c r="E5246" s="2"/>
    </row>
    <row r="5247" spans="5:5" x14ac:dyDescent="0.25">
      <c r="E5247" s="2"/>
    </row>
    <row r="5248" spans="5:5" x14ac:dyDescent="0.25">
      <c r="E5248" s="2"/>
    </row>
    <row r="5249" spans="5:5" x14ac:dyDescent="0.25">
      <c r="E5249" s="2"/>
    </row>
    <row r="5250" spans="5:5" x14ac:dyDescent="0.25">
      <c r="E5250" s="2"/>
    </row>
    <row r="5251" spans="5:5" x14ac:dyDescent="0.25">
      <c r="E5251" s="2"/>
    </row>
    <row r="5252" spans="5:5" x14ac:dyDescent="0.25">
      <c r="E5252" s="2"/>
    </row>
    <row r="5253" spans="5:5" x14ac:dyDescent="0.25">
      <c r="E5253" s="2"/>
    </row>
    <row r="5254" spans="5:5" x14ac:dyDescent="0.25">
      <c r="E5254" s="2"/>
    </row>
    <row r="5255" spans="5:5" x14ac:dyDescent="0.25">
      <c r="E5255" s="2"/>
    </row>
    <row r="5256" spans="5:5" x14ac:dyDescent="0.25">
      <c r="E5256" s="2"/>
    </row>
    <row r="5257" spans="5:5" x14ac:dyDescent="0.25">
      <c r="E5257" s="2"/>
    </row>
    <row r="5258" spans="5:5" x14ac:dyDescent="0.25">
      <c r="E5258" s="2"/>
    </row>
    <row r="5259" spans="5:5" x14ac:dyDescent="0.25">
      <c r="E5259" s="2"/>
    </row>
    <row r="5260" spans="5:5" x14ac:dyDescent="0.25">
      <c r="E5260" s="2"/>
    </row>
    <row r="5261" spans="5:5" x14ac:dyDescent="0.25">
      <c r="E5261" s="2"/>
    </row>
    <row r="5262" spans="5:5" x14ac:dyDescent="0.25">
      <c r="E5262" s="2"/>
    </row>
    <row r="5263" spans="5:5" x14ac:dyDescent="0.25">
      <c r="E5263" s="2"/>
    </row>
    <row r="5264" spans="5:5" x14ac:dyDescent="0.25">
      <c r="E5264" s="2"/>
    </row>
    <row r="5265" spans="5:5" x14ac:dyDescent="0.25">
      <c r="E5265" s="2"/>
    </row>
    <row r="5266" spans="5:5" x14ac:dyDescent="0.25">
      <c r="E5266" s="2"/>
    </row>
    <row r="5267" spans="5:5" x14ac:dyDescent="0.25">
      <c r="E5267" s="2"/>
    </row>
    <row r="5268" spans="5:5" x14ac:dyDescent="0.25">
      <c r="E5268" s="2"/>
    </row>
    <row r="5269" spans="5:5" x14ac:dyDescent="0.25">
      <c r="E5269" s="2"/>
    </row>
    <row r="5270" spans="5:5" x14ac:dyDescent="0.25">
      <c r="E5270" s="2"/>
    </row>
    <row r="5271" spans="5:5" x14ac:dyDescent="0.25">
      <c r="E5271" s="2"/>
    </row>
    <row r="5272" spans="5:5" x14ac:dyDescent="0.25">
      <c r="E5272" s="2"/>
    </row>
    <row r="5273" spans="5:5" x14ac:dyDescent="0.25">
      <c r="E5273" s="2"/>
    </row>
    <row r="5274" spans="5:5" x14ac:dyDescent="0.25">
      <c r="E5274" s="2"/>
    </row>
    <row r="5275" spans="5:5" x14ac:dyDescent="0.25">
      <c r="E5275" s="2"/>
    </row>
    <row r="5276" spans="5:5" x14ac:dyDescent="0.25">
      <c r="E5276" s="2"/>
    </row>
    <row r="5277" spans="5:5" x14ac:dyDescent="0.25">
      <c r="E5277" s="2"/>
    </row>
    <row r="5278" spans="5:5" x14ac:dyDescent="0.25">
      <c r="E5278" s="2"/>
    </row>
    <row r="5279" spans="5:5" x14ac:dyDescent="0.25">
      <c r="E5279" s="2"/>
    </row>
    <row r="5280" spans="5:5" x14ac:dyDescent="0.25">
      <c r="E5280" s="2"/>
    </row>
    <row r="5281" spans="5:5" x14ac:dyDescent="0.25">
      <c r="E5281" s="2"/>
    </row>
    <row r="5282" spans="5:5" x14ac:dyDescent="0.25">
      <c r="E5282" s="2"/>
    </row>
    <row r="5283" spans="5:5" x14ac:dyDescent="0.25">
      <c r="E5283" s="2"/>
    </row>
    <row r="5284" spans="5:5" x14ac:dyDescent="0.25">
      <c r="E5284" s="2"/>
    </row>
    <row r="5285" spans="5:5" x14ac:dyDescent="0.25">
      <c r="E5285" s="2"/>
    </row>
    <row r="5286" spans="5:5" x14ac:dyDescent="0.25">
      <c r="E5286" s="2"/>
    </row>
    <row r="5287" spans="5:5" x14ac:dyDescent="0.25">
      <c r="E5287" s="2"/>
    </row>
    <row r="5288" spans="5:5" x14ac:dyDescent="0.25">
      <c r="E5288" s="2"/>
    </row>
    <row r="5289" spans="5:5" x14ac:dyDescent="0.25">
      <c r="E5289" s="2"/>
    </row>
    <row r="5290" spans="5:5" x14ac:dyDescent="0.25">
      <c r="E5290" s="2"/>
    </row>
    <row r="5291" spans="5:5" x14ac:dyDescent="0.25">
      <c r="E5291" s="2"/>
    </row>
    <row r="5292" spans="5:5" x14ac:dyDescent="0.25">
      <c r="E5292" s="2"/>
    </row>
    <row r="5293" spans="5:5" x14ac:dyDescent="0.25">
      <c r="E5293" s="2"/>
    </row>
    <row r="5294" spans="5:5" x14ac:dyDescent="0.25">
      <c r="E5294" s="2"/>
    </row>
    <row r="5295" spans="5:5" x14ac:dyDescent="0.25">
      <c r="E5295" s="2"/>
    </row>
    <row r="5296" spans="5:5" x14ac:dyDescent="0.25">
      <c r="E5296" s="2"/>
    </row>
    <row r="5297" spans="5:5" x14ac:dyDescent="0.25">
      <c r="E5297" s="2"/>
    </row>
    <row r="5298" spans="5:5" x14ac:dyDescent="0.25">
      <c r="E5298" s="2"/>
    </row>
    <row r="5299" spans="5:5" x14ac:dyDescent="0.25">
      <c r="E5299" s="2"/>
    </row>
    <row r="5300" spans="5:5" x14ac:dyDescent="0.25">
      <c r="E5300" s="2"/>
    </row>
    <row r="5301" spans="5:5" x14ac:dyDescent="0.25">
      <c r="E5301" s="2"/>
    </row>
    <row r="5302" spans="5:5" x14ac:dyDescent="0.25">
      <c r="E5302" s="2"/>
    </row>
    <row r="5303" spans="5:5" x14ac:dyDescent="0.25">
      <c r="E5303" s="2"/>
    </row>
    <row r="5304" spans="5:5" x14ac:dyDescent="0.25">
      <c r="E5304" s="2"/>
    </row>
    <row r="5305" spans="5:5" x14ac:dyDescent="0.25">
      <c r="E5305" s="2"/>
    </row>
    <row r="5306" spans="5:5" x14ac:dyDescent="0.25">
      <c r="E5306" s="2"/>
    </row>
    <row r="5307" spans="5:5" x14ac:dyDescent="0.25">
      <c r="E5307" s="2"/>
    </row>
    <row r="5308" spans="5:5" x14ac:dyDescent="0.25">
      <c r="E5308" s="2"/>
    </row>
    <row r="5309" spans="5:5" x14ac:dyDescent="0.25">
      <c r="E5309" s="2"/>
    </row>
    <row r="5310" spans="5:5" x14ac:dyDescent="0.25">
      <c r="E5310" s="2"/>
    </row>
    <row r="5311" spans="5:5" x14ac:dyDescent="0.25">
      <c r="E5311" s="2"/>
    </row>
    <row r="5312" spans="5:5" x14ac:dyDescent="0.25">
      <c r="E5312" s="2"/>
    </row>
    <row r="5313" spans="5:5" x14ac:dyDescent="0.25">
      <c r="E5313" s="2"/>
    </row>
    <row r="5314" spans="5:5" x14ac:dyDescent="0.25">
      <c r="E5314" s="2"/>
    </row>
    <row r="5315" spans="5:5" x14ac:dyDescent="0.25">
      <c r="E5315" s="2"/>
    </row>
    <row r="5316" spans="5:5" x14ac:dyDescent="0.25">
      <c r="E5316" s="2"/>
    </row>
    <row r="5317" spans="5:5" x14ac:dyDescent="0.25">
      <c r="E5317" s="2"/>
    </row>
    <row r="5318" spans="5:5" x14ac:dyDescent="0.25">
      <c r="E5318" s="2"/>
    </row>
    <row r="5319" spans="5:5" x14ac:dyDescent="0.25">
      <c r="E5319" s="2"/>
    </row>
    <row r="5320" spans="5:5" x14ac:dyDescent="0.25">
      <c r="E5320" s="2"/>
    </row>
    <row r="5321" spans="5:5" x14ac:dyDescent="0.25">
      <c r="E5321" s="2"/>
    </row>
    <row r="5322" spans="5:5" x14ac:dyDescent="0.25">
      <c r="E5322" s="2"/>
    </row>
    <row r="5323" spans="5:5" x14ac:dyDescent="0.25">
      <c r="E5323" s="2"/>
    </row>
    <row r="5324" spans="5:5" x14ac:dyDescent="0.25">
      <c r="E5324" s="2"/>
    </row>
    <row r="5325" spans="5:5" x14ac:dyDescent="0.25">
      <c r="E5325" s="2"/>
    </row>
    <row r="5326" spans="5:5" x14ac:dyDescent="0.25">
      <c r="E5326" s="2"/>
    </row>
    <row r="5327" spans="5:5" x14ac:dyDescent="0.25">
      <c r="E5327" s="2"/>
    </row>
    <row r="5328" spans="5:5" x14ac:dyDescent="0.25">
      <c r="E5328" s="2"/>
    </row>
    <row r="5329" spans="5:5" x14ac:dyDescent="0.25">
      <c r="E5329" s="2"/>
    </row>
    <row r="5330" spans="5:5" x14ac:dyDescent="0.25">
      <c r="E5330" s="2"/>
    </row>
    <row r="5331" spans="5:5" x14ac:dyDescent="0.25">
      <c r="E5331" s="2"/>
    </row>
    <row r="5332" spans="5:5" x14ac:dyDescent="0.25">
      <c r="E5332" s="2"/>
    </row>
    <row r="5333" spans="5:5" x14ac:dyDescent="0.25">
      <c r="E5333" s="2"/>
    </row>
    <row r="5334" spans="5:5" x14ac:dyDescent="0.25">
      <c r="E5334" s="2"/>
    </row>
    <row r="5335" spans="5:5" x14ac:dyDescent="0.25">
      <c r="E5335" s="2"/>
    </row>
    <row r="5336" spans="5:5" x14ac:dyDescent="0.25">
      <c r="E5336" s="2"/>
    </row>
    <row r="5337" spans="5:5" x14ac:dyDescent="0.25">
      <c r="E5337" s="2"/>
    </row>
    <row r="5338" spans="5:5" x14ac:dyDescent="0.25">
      <c r="E5338" s="2"/>
    </row>
    <row r="5339" spans="5:5" x14ac:dyDescent="0.25">
      <c r="E5339" s="2"/>
    </row>
    <row r="5340" spans="5:5" x14ac:dyDescent="0.25">
      <c r="E5340" s="2"/>
    </row>
    <row r="5341" spans="5:5" x14ac:dyDescent="0.25">
      <c r="E5341" s="2"/>
    </row>
    <row r="5342" spans="5:5" x14ac:dyDescent="0.25">
      <c r="E5342" s="2"/>
    </row>
    <row r="5343" spans="5:5" x14ac:dyDescent="0.25">
      <c r="E5343" s="2"/>
    </row>
    <row r="5344" spans="5:5" x14ac:dyDescent="0.25">
      <c r="E5344" s="2"/>
    </row>
    <row r="5345" spans="5:5" x14ac:dyDescent="0.25">
      <c r="E5345" s="2"/>
    </row>
    <row r="5346" spans="5:5" x14ac:dyDescent="0.25">
      <c r="E5346" s="2"/>
    </row>
    <row r="5347" spans="5:5" x14ac:dyDescent="0.25">
      <c r="E5347" s="2"/>
    </row>
    <row r="5348" spans="5:5" x14ac:dyDescent="0.25">
      <c r="E5348" s="2"/>
    </row>
    <row r="5349" spans="5:5" x14ac:dyDescent="0.25">
      <c r="E5349" s="2"/>
    </row>
    <row r="5350" spans="5:5" x14ac:dyDescent="0.25">
      <c r="E5350" s="2"/>
    </row>
    <row r="5351" spans="5:5" x14ac:dyDescent="0.25">
      <c r="E5351" s="2"/>
    </row>
    <row r="5352" spans="5:5" x14ac:dyDescent="0.25">
      <c r="E5352" s="2"/>
    </row>
    <row r="5353" spans="5:5" x14ac:dyDescent="0.25">
      <c r="E5353" s="2"/>
    </row>
    <row r="5354" spans="5:5" x14ac:dyDescent="0.25">
      <c r="E5354" s="2"/>
    </row>
    <row r="5355" spans="5:5" x14ac:dyDescent="0.25">
      <c r="E5355" s="2"/>
    </row>
    <row r="5356" spans="5:5" x14ac:dyDescent="0.25">
      <c r="E5356" s="2"/>
    </row>
    <row r="5357" spans="5:5" x14ac:dyDescent="0.25">
      <c r="E5357" s="2"/>
    </row>
    <row r="5358" spans="5:5" x14ac:dyDescent="0.25">
      <c r="E5358" s="2"/>
    </row>
    <row r="5359" spans="5:5" x14ac:dyDescent="0.25">
      <c r="E5359" s="2"/>
    </row>
    <row r="5360" spans="5:5" x14ac:dyDescent="0.25">
      <c r="E5360" s="2"/>
    </row>
    <row r="5361" spans="5:5" x14ac:dyDescent="0.25">
      <c r="E5361" s="2"/>
    </row>
    <row r="5362" spans="5:5" x14ac:dyDescent="0.25">
      <c r="E5362" s="2"/>
    </row>
    <row r="5363" spans="5:5" x14ac:dyDescent="0.25">
      <c r="E5363" s="2"/>
    </row>
    <row r="5364" spans="5:5" x14ac:dyDescent="0.25">
      <c r="E5364" s="2"/>
    </row>
    <row r="5365" spans="5:5" x14ac:dyDescent="0.25">
      <c r="E5365" s="2"/>
    </row>
    <row r="5366" spans="5:5" x14ac:dyDescent="0.25">
      <c r="E5366" s="2"/>
    </row>
    <row r="5367" spans="5:5" x14ac:dyDescent="0.25">
      <c r="E5367" s="2"/>
    </row>
    <row r="5368" spans="5:5" x14ac:dyDescent="0.25">
      <c r="E5368" s="2"/>
    </row>
    <row r="5369" spans="5:5" x14ac:dyDescent="0.25">
      <c r="E5369" s="2"/>
    </row>
    <row r="5370" spans="5:5" x14ac:dyDescent="0.25">
      <c r="E5370" s="2"/>
    </row>
    <row r="5371" spans="5:5" x14ac:dyDescent="0.25">
      <c r="E5371" s="2"/>
    </row>
    <row r="5372" spans="5:5" x14ac:dyDescent="0.25">
      <c r="E5372" s="2"/>
    </row>
    <row r="5373" spans="5:5" x14ac:dyDescent="0.25">
      <c r="E5373" s="2"/>
    </row>
    <row r="5374" spans="5:5" x14ac:dyDescent="0.25">
      <c r="E5374" s="2"/>
    </row>
    <row r="5375" spans="5:5" x14ac:dyDescent="0.25">
      <c r="E5375" s="2"/>
    </row>
    <row r="5376" spans="5:5" x14ac:dyDescent="0.25">
      <c r="E5376" s="2"/>
    </row>
    <row r="5377" spans="5:5" x14ac:dyDescent="0.25">
      <c r="E5377" s="2"/>
    </row>
    <row r="5378" spans="5:5" x14ac:dyDescent="0.25">
      <c r="E5378" s="2"/>
    </row>
    <row r="5379" spans="5:5" x14ac:dyDescent="0.25">
      <c r="E5379" s="2"/>
    </row>
    <row r="5380" spans="5:5" x14ac:dyDescent="0.25">
      <c r="E5380" s="2"/>
    </row>
    <row r="5381" spans="5:5" x14ac:dyDescent="0.25">
      <c r="E5381" s="2"/>
    </row>
    <row r="5382" spans="5:5" x14ac:dyDescent="0.25">
      <c r="E5382" s="2"/>
    </row>
    <row r="5383" spans="5:5" x14ac:dyDescent="0.25">
      <c r="E5383" s="2"/>
    </row>
    <row r="5384" spans="5:5" x14ac:dyDescent="0.25">
      <c r="E5384" s="2"/>
    </row>
    <row r="5385" spans="5:5" x14ac:dyDescent="0.25">
      <c r="E5385" s="2"/>
    </row>
    <row r="5386" spans="5:5" x14ac:dyDescent="0.25">
      <c r="E5386" s="2"/>
    </row>
    <row r="5387" spans="5:5" x14ac:dyDescent="0.25">
      <c r="E5387" s="2"/>
    </row>
    <row r="5388" spans="5:5" x14ac:dyDescent="0.25">
      <c r="E5388" s="2"/>
    </row>
    <row r="5389" spans="5:5" x14ac:dyDescent="0.25">
      <c r="E5389" s="2"/>
    </row>
    <row r="5390" spans="5:5" x14ac:dyDescent="0.25">
      <c r="E5390" s="2"/>
    </row>
    <row r="5391" spans="5:5" x14ac:dyDescent="0.25">
      <c r="E5391" s="2"/>
    </row>
    <row r="5392" spans="5:5" x14ac:dyDescent="0.25">
      <c r="E5392" s="2"/>
    </row>
    <row r="5393" spans="5:5" x14ac:dyDescent="0.25">
      <c r="E5393" s="2"/>
    </row>
    <row r="5394" spans="5:5" x14ac:dyDescent="0.25">
      <c r="E5394" s="2"/>
    </row>
    <row r="5395" spans="5:5" x14ac:dyDescent="0.25">
      <c r="E5395" s="2"/>
    </row>
    <row r="5396" spans="5:5" x14ac:dyDescent="0.25">
      <c r="E5396" s="2"/>
    </row>
    <row r="5397" spans="5:5" x14ac:dyDescent="0.25">
      <c r="E5397" s="2"/>
    </row>
    <row r="5398" spans="5:5" x14ac:dyDescent="0.25">
      <c r="E5398" s="2"/>
    </row>
    <row r="5399" spans="5:5" x14ac:dyDescent="0.25">
      <c r="E5399" s="2"/>
    </row>
    <row r="5400" spans="5:5" x14ac:dyDescent="0.25">
      <c r="E5400" s="2"/>
    </row>
    <row r="5401" spans="5:5" x14ac:dyDescent="0.25">
      <c r="E5401" s="2"/>
    </row>
    <row r="5402" spans="5:5" x14ac:dyDescent="0.25">
      <c r="E5402" s="2"/>
    </row>
    <row r="5403" spans="5:5" x14ac:dyDescent="0.25">
      <c r="E5403" s="2"/>
    </row>
    <row r="5404" spans="5:5" x14ac:dyDescent="0.25">
      <c r="E5404" s="2"/>
    </row>
    <row r="5405" spans="5:5" x14ac:dyDescent="0.25">
      <c r="E5405" s="2"/>
    </row>
    <row r="5406" spans="5:5" x14ac:dyDescent="0.25">
      <c r="E5406" s="2"/>
    </row>
    <row r="5407" spans="5:5" x14ac:dyDescent="0.25">
      <c r="E5407" s="2"/>
    </row>
    <row r="5408" spans="5:5" x14ac:dyDescent="0.25">
      <c r="E5408" s="2"/>
    </row>
    <row r="5409" spans="5:5" x14ac:dyDescent="0.25">
      <c r="E5409" s="2"/>
    </row>
    <row r="5410" spans="5:5" x14ac:dyDescent="0.25">
      <c r="E5410" s="2"/>
    </row>
    <row r="5411" spans="5:5" x14ac:dyDescent="0.25">
      <c r="E5411" s="2"/>
    </row>
    <row r="5412" spans="5:5" x14ac:dyDescent="0.25">
      <c r="E5412" s="2"/>
    </row>
    <row r="5413" spans="5:5" x14ac:dyDescent="0.25">
      <c r="E5413" s="2"/>
    </row>
    <row r="5414" spans="5:5" x14ac:dyDescent="0.25">
      <c r="E5414" s="2"/>
    </row>
    <row r="5415" spans="5:5" x14ac:dyDescent="0.25">
      <c r="E5415" s="2"/>
    </row>
    <row r="5416" spans="5:5" x14ac:dyDescent="0.25">
      <c r="E5416" s="2"/>
    </row>
    <row r="5417" spans="5:5" x14ac:dyDescent="0.25">
      <c r="E5417" s="2"/>
    </row>
    <row r="5418" spans="5:5" x14ac:dyDescent="0.25">
      <c r="E5418" s="2"/>
    </row>
    <row r="5419" spans="5:5" x14ac:dyDescent="0.25">
      <c r="E5419" s="2"/>
    </row>
    <row r="5420" spans="5:5" x14ac:dyDescent="0.25">
      <c r="E5420" s="2"/>
    </row>
    <row r="5421" spans="5:5" x14ac:dyDescent="0.25">
      <c r="E5421" s="2"/>
    </row>
    <row r="5422" spans="5:5" x14ac:dyDescent="0.25">
      <c r="E5422" s="2"/>
    </row>
    <row r="5423" spans="5:5" x14ac:dyDescent="0.25">
      <c r="E5423" s="2"/>
    </row>
    <row r="5424" spans="5:5" x14ac:dyDescent="0.25">
      <c r="E5424" s="2"/>
    </row>
    <row r="5425" spans="5:5" x14ac:dyDescent="0.25">
      <c r="E5425" s="2"/>
    </row>
    <row r="5426" spans="5:5" x14ac:dyDescent="0.25">
      <c r="E5426" s="2"/>
    </row>
    <row r="5427" spans="5:5" x14ac:dyDescent="0.25">
      <c r="E5427" s="2"/>
    </row>
    <row r="5428" spans="5:5" x14ac:dyDescent="0.25">
      <c r="E5428" s="2"/>
    </row>
    <row r="5429" spans="5:5" x14ac:dyDescent="0.25">
      <c r="E5429" s="2"/>
    </row>
    <row r="5430" spans="5:5" x14ac:dyDescent="0.25">
      <c r="E5430" s="2"/>
    </row>
    <row r="5431" spans="5:5" x14ac:dyDescent="0.25">
      <c r="E5431" s="2"/>
    </row>
    <row r="5432" spans="5:5" x14ac:dyDescent="0.25">
      <c r="E5432" s="2"/>
    </row>
    <row r="5433" spans="5:5" x14ac:dyDescent="0.25">
      <c r="E5433" s="2"/>
    </row>
    <row r="5434" spans="5:5" x14ac:dyDescent="0.25">
      <c r="E5434" s="2"/>
    </row>
    <row r="5435" spans="5:5" x14ac:dyDescent="0.25">
      <c r="E5435" s="2"/>
    </row>
    <row r="5436" spans="5:5" x14ac:dyDescent="0.25">
      <c r="E5436" s="2"/>
    </row>
    <row r="5437" spans="5:5" x14ac:dyDescent="0.25">
      <c r="E5437" s="2"/>
    </row>
    <row r="5438" spans="5:5" x14ac:dyDescent="0.25">
      <c r="E5438" s="2"/>
    </row>
    <row r="5439" spans="5:5" x14ac:dyDescent="0.25">
      <c r="E5439" s="2"/>
    </row>
    <row r="5440" spans="5:5" x14ac:dyDescent="0.25">
      <c r="E5440" s="2"/>
    </row>
    <row r="5441" spans="5:5" x14ac:dyDescent="0.25">
      <c r="E5441" s="2"/>
    </row>
    <row r="5442" spans="5:5" x14ac:dyDescent="0.25">
      <c r="E5442" s="2"/>
    </row>
    <row r="5443" spans="5:5" x14ac:dyDescent="0.25">
      <c r="E5443" s="2"/>
    </row>
    <row r="5444" spans="5:5" x14ac:dyDescent="0.25">
      <c r="E5444" s="2"/>
    </row>
    <row r="5445" spans="5:5" x14ac:dyDescent="0.25">
      <c r="E5445" s="2"/>
    </row>
    <row r="5446" spans="5:5" x14ac:dyDescent="0.25">
      <c r="E5446" s="2"/>
    </row>
    <row r="5447" spans="5:5" x14ac:dyDescent="0.25">
      <c r="E5447" s="2"/>
    </row>
    <row r="5448" spans="5:5" x14ac:dyDescent="0.25">
      <c r="E5448" s="2"/>
    </row>
    <row r="5449" spans="5:5" x14ac:dyDescent="0.25">
      <c r="E5449" s="2"/>
    </row>
    <row r="5450" spans="5:5" x14ac:dyDescent="0.25">
      <c r="E5450" s="2"/>
    </row>
    <row r="5451" spans="5:5" x14ac:dyDescent="0.25">
      <c r="E5451" s="2"/>
    </row>
    <row r="5452" spans="5:5" x14ac:dyDescent="0.25">
      <c r="E5452" s="2"/>
    </row>
    <row r="5453" spans="5:5" x14ac:dyDescent="0.25">
      <c r="E5453" s="2"/>
    </row>
    <row r="5454" spans="5:5" x14ac:dyDescent="0.25">
      <c r="E5454" s="2"/>
    </row>
    <row r="5455" spans="5:5" x14ac:dyDescent="0.25">
      <c r="E5455" s="2"/>
    </row>
    <row r="5456" spans="5:5" x14ac:dyDescent="0.25">
      <c r="E5456" s="2"/>
    </row>
    <row r="5457" spans="5:5" x14ac:dyDescent="0.25">
      <c r="E5457" s="2"/>
    </row>
    <row r="5458" spans="5:5" x14ac:dyDescent="0.25">
      <c r="E5458" s="2"/>
    </row>
    <row r="5459" spans="5:5" x14ac:dyDescent="0.25">
      <c r="E5459" s="2"/>
    </row>
    <row r="5460" spans="5:5" x14ac:dyDescent="0.25">
      <c r="E5460" s="2"/>
    </row>
    <row r="5461" spans="5:5" x14ac:dyDescent="0.25">
      <c r="E5461" s="2"/>
    </row>
    <row r="5462" spans="5:5" x14ac:dyDescent="0.25">
      <c r="E5462" s="2"/>
    </row>
    <row r="5463" spans="5:5" x14ac:dyDescent="0.25">
      <c r="E5463" s="2"/>
    </row>
    <row r="5464" spans="5:5" x14ac:dyDescent="0.25">
      <c r="E5464" s="2"/>
    </row>
    <row r="5465" spans="5:5" x14ac:dyDescent="0.25">
      <c r="E5465" s="2"/>
    </row>
    <row r="5466" spans="5:5" x14ac:dyDescent="0.25">
      <c r="E5466" s="2"/>
    </row>
    <row r="5467" spans="5:5" x14ac:dyDescent="0.25">
      <c r="E5467" s="2"/>
    </row>
    <row r="5468" spans="5:5" x14ac:dyDescent="0.25">
      <c r="E5468" s="2"/>
    </row>
    <row r="5469" spans="5:5" x14ac:dyDescent="0.25">
      <c r="E5469" s="2"/>
    </row>
    <row r="5470" spans="5:5" x14ac:dyDescent="0.25">
      <c r="E5470" s="2"/>
    </row>
    <row r="5471" spans="5:5" x14ac:dyDescent="0.25">
      <c r="E5471" s="2"/>
    </row>
    <row r="5472" spans="5:5" x14ac:dyDescent="0.25">
      <c r="E5472" s="2"/>
    </row>
    <row r="5473" spans="5:5" x14ac:dyDescent="0.25">
      <c r="E5473" s="2"/>
    </row>
    <row r="5474" spans="5:5" x14ac:dyDescent="0.25">
      <c r="E5474" s="2"/>
    </row>
    <row r="5475" spans="5:5" x14ac:dyDescent="0.25">
      <c r="E5475" s="2"/>
    </row>
    <row r="5476" spans="5:5" x14ac:dyDescent="0.25">
      <c r="E5476" s="2"/>
    </row>
    <row r="5477" spans="5:5" x14ac:dyDescent="0.25">
      <c r="E5477" s="2"/>
    </row>
    <row r="5478" spans="5:5" x14ac:dyDescent="0.25">
      <c r="E5478" s="2"/>
    </row>
    <row r="5479" spans="5:5" x14ac:dyDescent="0.25">
      <c r="E5479" s="2"/>
    </row>
    <row r="5480" spans="5:5" x14ac:dyDescent="0.25">
      <c r="E5480" s="2"/>
    </row>
    <row r="5481" spans="5:5" x14ac:dyDescent="0.25">
      <c r="E5481" s="2"/>
    </row>
    <row r="5482" spans="5:5" x14ac:dyDescent="0.25">
      <c r="E5482" s="2"/>
    </row>
    <row r="5483" spans="5:5" x14ac:dyDescent="0.25">
      <c r="E5483" s="2"/>
    </row>
    <row r="5484" spans="5:5" x14ac:dyDescent="0.25">
      <c r="E5484" s="2"/>
    </row>
    <row r="5485" spans="5:5" x14ac:dyDescent="0.25">
      <c r="E5485" s="2"/>
    </row>
    <row r="5486" spans="5:5" x14ac:dyDescent="0.25">
      <c r="E5486" s="2"/>
    </row>
    <row r="5487" spans="5:5" x14ac:dyDescent="0.25">
      <c r="E5487" s="2"/>
    </row>
    <row r="5488" spans="5:5" x14ac:dyDescent="0.25">
      <c r="E5488" s="2"/>
    </row>
    <row r="5489" spans="5:5" x14ac:dyDescent="0.25">
      <c r="E5489" s="2"/>
    </row>
    <row r="5490" spans="5:5" x14ac:dyDescent="0.25">
      <c r="E5490" s="2"/>
    </row>
    <row r="5491" spans="5:5" x14ac:dyDescent="0.25">
      <c r="E5491" s="2"/>
    </row>
    <row r="5492" spans="5:5" x14ac:dyDescent="0.25">
      <c r="E5492" s="2"/>
    </row>
    <row r="5493" spans="5:5" x14ac:dyDescent="0.25">
      <c r="E5493" s="2"/>
    </row>
    <row r="5494" spans="5:5" x14ac:dyDescent="0.25">
      <c r="E5494" s="2"/>
    </row>
    <row r="5495" spans="5:5" x14ac:dyDescent="0.25">
      <c r="E5495" s="2"/>
    </row>
    <row r="5496" spans="5:5" x14ac:dyDescent="0.25">
      <c r="E5496" s="2"/>
    </row>
    <row r="5497" spans="5:5" x14ac:dyDescent="0.25">
      <c r="E5497" s="2"/>
    </row>
    <row r="5498" spans="5:5" x14ac:dyDescent="0.25">
      <c r="E5498" s="2"/>
    </row>
    <row r="5499" spans="5:5" x14ac:dyDescent="0.25">
      <c r="E5499" s="2"/>
    </row>
    <row r="5500" spans="5:5" x14ac:dyDescent="0.25">
      <c r="E5500" s="2"/>
    </row>
    <row r="5501" spans="5:5" x14ac:dyDescent="0.25">
      <c r="E5501" s="2"/>
    </row>
    <row r="5502" spans="5:5" x14ac:dyDescent="0.25">
      <c r="E5502" s="2"/>
    </row>
    <row r="5503" spans="5:5" x14ac:dyDescent="0.25">
      <c r="E5503" s="2"/>
    </row>
    <row r="5504" spans="5:5" x14ac:dyDescent="0.25">
      <c r="E5504" s="2"/>
    </row>
    <row r="5505" spans="5:5" x14ac:dyDescent="0.25">
      <c r="E5505" s="2"/>
    </row>
    <row r="5506" spans="5:5" x14ac:dyDescent="0.25">
      <c r="E5506" s="2"/>
    </row>
    <row r="5507" spans="5:5" x14ac:dyDescent="0.25">
      <c r="E5507" s="2"/>
    </row>
    <row r="5508" spans="5:5" x14ac:dyDescent="0.25">
      <c r="E5508" s="2"/>
    </row>
    <row r="5509" spans="5:5" x14ac:dyDescent="0.25">
      <c r="E5509" s="2"/>
    </row>
    <row r="5510" spans="5:5" x14ac:dyDescent="0.25">
      <c r="E5510" s="2"/>
    </row>
    <row r="5511" spans="5:5" x14ac:dyDescent="0.25">
      <c r="E5511" s="2"/>
    </row>
    <row r="5512" spans="5:5" x14ac:dyDescent="0.25">
      <c r="E5512" s="2"/>
    </row>
    <row r="5513" spans="5:5" x14ac:dyDescent="0.25">
      <c r="E5513" s="2"/>
    </row>
    <row r="5514" spans="5:5" x14ac:dyDescent="0.25">
      <c r="E5514" s="2"/>
    </row>
    <row r="5515" spans="5:5" x14ac:dyDescent="0.25">
      <c r="E5515" s="2"/>
    </row>
    <row r="5516" spans="5:5" x14ac:dyDescent="0.25">
      <c r="E5516" s="2"/>
    </row>
    <row r="5517" spans="5:5" x14ac:dyDescent="0.25">
      <c r="E5517" s="2"/>
    </row>
    <row r="5518" spans="5:5" x14ac:dyDescent="0.25">
      <c r="E5518" s="2"/>
    </row>
    <row r="5519" spans="5:5" x14ac:dyDescent="0.25">
      <c r="E5519" s="2"/>
    </row>
    <row r="5520" spans="5:5" x14ac:dyDescent="0.25">
      <c r="E5520" s="2"/>
    </row>
    <row r="5521" spans="5:5" x14ac:dyDescent="0.25">
      <c r="E5521" s="2"/>
    </row>
    <row r="5522" spans="5:5" x14ac:dyDescent="0.25">
      <c r="E5522" s="2"/>
    </row>
    <row r="5523" spans="5:5" x14ac:dyDescent="0.25">
      <c r="E5523" s="2"/>
    </row>
    <row r="5524" spans="5:5" x14ac:dyDescent="0.25">
      <c r="E5524" s="2"/>
    </row>
    <row r="5525" spans="5:5" x14ac:dyDescent="0.25">
      <c r="E5525" s="2"/>
    </row>
    <row r="5526" spans="5:5" x14ac:dyDescent="0.25">
      <c r="E5526" s="2"/>
    </row>
    <row r="5527" spans="5:5" x14ac:dyDescent="0.25">
      <c r="E5527" s="2"/>
    </row>
    <row r="5528" spans="5:5" x14ac:dyDescent="0.25">
      <c r="E5528" s="2"/>
    </row>
    <row r="5529" spans="5:5" x14ac:dyDescent="0.25">
      <c r="E5529" s="2"/>
    </row>
    <row r="5530" spans="5:5" x14ac:dyDescent="0.25">
      <c r="E5530" s="2"/>
    </row>
    <row r="5531" spans="5:5" x14ac:dyDescent="0.25">
      <c r="E5531" s="2"/>
    </row>
    <row r="5532" spans="5:5" x14ac:dyDescent="0.25">
      <c r="E5532" s="2"/>
    </row>
    <row r="5533" spans="5:5" x14ac:dyDescent="0.25">
      <c r="E5533" s="2"/>
    </row>
    <row r="5534" spans="5:5" x14ac:dyDescent="0.25">
      <c r="E5534" s="2"/>
    </row>
    <row r="5535" spans="5:5" x14ac:dyDescent="0.25">
      <c r="E5535" s="2"/>
    </row>
    <row r="5536" spans="5:5" x14ac:dyDescent="0.25">
      <c r="E5536" s="2"/>
    </row>
    <row r="5537" spans="5:5" x14ac:dyDescent="0.25">
      <c r="E5537" s="2"/>
    </row>
    <row r="5538" spans="5:5" x14ac:dyDescent="0.25">
      <c r="E5538" s="2"/>
    </row>
    <row r="5539" spans="5:5" x14ac:dyDescent="0.25">
      <c r="E5539" s="2"/>
    </row>
    <row r="5540" spans="5:5" x14ac:dyDescent="0.25">
      <c r="E5540" s="2"/>
    </row>
    <row r="5541" spans="5:5" x14ac:dyDescent="0.25">
      <c r="E5541" s="2"/>
    </row>
    <row r="5542" spans="5:5" x14ac:dyDescent="0.25">
      <c r="E5542" s="2"/>
    </row>
    <row r="5543" spans="5:5" x14ac:dyDescent="0.25">
      <c r="E5543" s="2"/>
    </row>
    <row r="5544" spans="5:5" x14ac:dyDescent="0.25">
      <c r="E5544" s="2"/>
    </row>
    <row r="5545" spans="5:5" x14ac:dyDescent="0.25">
      <c r="E5545" s="2"/>
    </row>
    <row r="5546" spans="5:5" x14ac:dyDescent="0.25">
      <c r="E5546" s="2"/>
    </row>
    <row r="5547" spans="5:5" x14ac:dyDescent="0.25">
      <c r="E5547" s="2"/>
    </row>
    <row r="5548" spans="5:5" x14ac:dyDescent="0.25">
      <c r="E5548" s="2"/>
    </row>
    <row r="5549" spans="5:5" x14ac:dyDescent="0.25">
      <c r="E5549" s="2"/>
    </row>
    <row r="5550" spans="5:5" x14ac:dyDescent="0.25">
      <c r="E5550" s="2"/>
    </row>
    <row r="5551" spans="5:5" x14ac:dyDescent="0.25">
      <c r="E5551" s="2"/>
    </row>
    <row r="5552" spans="5:5" x14ac:dyDescent="0.25">
      <c r="E5552" s="2"/>
    </row>
    <row r="5553" spans="5:5" x14ac:dyDescent="0.25">
      <c r="E5553" s="2"/>
    </row>
    <row r="5554" spans="5:5" x14ac:dyDescent="0.25">
      <c r="E5554" s="2"/>
    </row>
    <row r="5555" spans="5:5" x14ac:dyDescent="0.25">
      <c r="E5555" s="2"/>
    </row>
    <row r="5556" spans="5:5" x14ac:dyDescent="0.25">
      <c r="E5556" s="2"/>
    </row>
    <row r="5557" spans="5:5" x14ac:dyDescent="0.25">
      <c r="E5557" s="2"/>
    </row>
    <row r="5558" spans="5:5" x14ac:dyDescent="0.25">
      <c r="E5558" s="2"/>
    </row>
    <row r="5559" spans="5:5" x14ac:dyDescent="0.25">
      <c r="E5559" s="2"/>
    </row>
    <row r="5560" spans="5:5" x14ac:dyDescent="0.25">
      <c r="E5560" s="2"/>
    </row>
    <row r="5561" spans="5:5" x14ac:dyDescent="0.25">
      <c r="E5561" s="2"/>
    </row>
    <row r="5562" spans="5:5" x14ac:dyDescent="0.25">
      <c r="E5562" s="2"/>
    </row>
    <row r="5563" spans="5:5" x14ac:dyDescent="0.25">
      <c r="E5563" s="2"/>
    </row>
    <row r="5564" spans="5:5" x14ac:dyDescent="0.25">
      <c r="E5564" s="2"/>
    </row>
    <row r="5565" spans="5:5" x14ac:dyDescent="0.25">
      <c r="E5565" s="2"/>
    </row>
    <row r="5566" spans="5:5" x14ac:dyDescent="0.25">
      <c r="E5566" s="2"/>
    </row>
    <row r="5567" spans="5:5" x14ac:dyDescent="0.25">
      <c r="E5567" s="2"/>
    </row>
    <row r="5568" spans="5:5" x14ac:dyDescent="0.25">
      <c r="E5568" s="2"/>
    </row>
    <row r="5569" spans="5:5" x14ac:dyDescent="0.25">
      <c r="E5569" s="2"/>
    </row>
    <row r="5570" spans="5:5" x14ac:dyDescent="0.25">
      <c r="E5570" s="2"/>
    </row>
    <row r="5571" spans="5:5" x14ac:dyDescent="0.25">
      <c r="E5571" s="2"/>
    </row>
    <row r="5572" spans="5:5" x14ac:dyDescent="0.25">
      <c r="E5572" s="2"/>
    </row>
    <row r="5573" spans="5:5" x14ac:dyDescent="0.25">
      <c r="E5573" s="2"/>
    </row>
    <row r="5574" spans="5:5" x14ac:dyDescent="0.25">
      <c r="E5574" s="2"/>
    </row>
    <row r="5575" spans="5:5" x14ac:dyDescent="0.25">
      <c r="E5575" s="2"/>
    </row>
    <row r="5576" spans="5:5" x14ac:dyDescent="0.25">
      <c r="E5576" s="2"/>
    </row>
    <row r="5577" spans="5:5" x14ac:dyDescent="0.25">
      <c r="E5577" s="2"/>
    </row>
    <row r="5578" spans="5:5" x14ac:dyDescent="0.25">
      <c r="E5578" s="2"/>
    </row>
    <row r="5579" spans="5:5" x14ac:dyDescent="0.25">
      <c r="E5579" s="2"/>
    </row>
    <row r="5580" spans="5:5" x14ac:dyDescent="0.25">
      <c r="E5580" s="2"/>
    </row>
    <row r="5581" spans="5:5" x14ac:dyDescent="0.25">
      <c r="E5581" s="2"/>
    </row>
    <row r="5582" spans="5:5" x14ac:dyDescent="0.25">
      <c r="E5582" s="2"/>
    </row>
    <row r="5583" spans="5:5" x14ac:dyDescent="0.25">
      <c r="E5583" s="2"/>
    </row>
    <row r="5584" spans="5:5" x14ac:dyDescent="0.25">
      <c r="E5584" s="2"/>
    </row>
    <row r="5585" spans="5:5" x14ac:dyDescent="0.25">
      <c r="E5585" s="2"/>
    </row>
    <row r="5586" spans="5:5" x14ac:dyDescent="0.25">
      <c r="E5586" s="2"/>
    </row>
    <row r="5587" spans="5:5" x14ac:dyDescent="0.25">
      <c r="E5587" s="2"/>
    </row>
    <row r="5588" spans="5:5" x14ac:dyDescent="0.25">
      <c r="E5588" s="2"/>
    </row>
    <row r="5589" spans="5:5" x14ac:dyDescent="0.25">
      <c r="E5589" s="2"/>
    </row>
    <row r="5590" spans="5:5" x14ac:dyDescent="0.25">
      <c r="E5590" s="2"/>
    </row>
    <row r="5591" spans="5:5" x14ac:dyDescent="0.25">
      <c r="E5591" s="2"/>
    </row>
    <row r="5592" spans="5:5" x14ac:dyDescent="0.25">
      <c r="E5592" s="2"/>
    </row>
    <row r="5593" spans="5:5" x14ac:dyDescent="0.25">
      <c r="E5593" s="2"/>
    </row>
    <row r="5594" spans="5:5" x14ac:dyDescent="0.25">
      <c r="E5594" s="2"/>
    </row>
    <row r="5595" spans="5:5" x14ac:dyDescent="0.25">
      <c r="E5595" s="2"/>
    </row>
    <row r="5596" spans="5:5" x14ac:dyDescent="0.25">
      <c r="E5596" s="2"/>
    </row>
    <row r="5597" spans="5:5" x14ac:dyDescent="0.25">
      <c r="E5597" s="2"/>
    </row>
    <row r="5598" spans="5:5" x14ac:dyDescent="0.25">
      <c r="E5598" s="2"/>
    </row>
    <row r="5599" spans="5:5" x14ac:dyDescent="0.25">
      <c r="E5599" s="2"/>
    </row>
    <row r="5600" spans="5:5" x14ac:dyDescent="0.25">
      <c r="E5600" s="2"/>
    </row>
    <row r="5601" spans="5:5" x14ac:dyDescent="0.25">
      <c r="E5601" s="2"/>
    </row>
    <row r="5602" spans="5:5" x14ac:dyDescent="0.25">
      <c r="E5602" s="2"/>
    </row>
    <row r="5603" spans="5:5" x14ac:dyDescent="0.25">
      <c r="E5603" s="2"/>
    </row>
    <row r="5604" spans="5:5" x14ac:dyDescent="0.25">
      <c r="E5604" s="2"/>
    </row>
    <row r="5605" spans="5:5" x14ac:dyDescent="0.25">
      <c r="E5605" s="2"/>
    </row>
    <row r="5606" spans="5:5" x14ac:dyDescent="0.25">
      <c r="E5606" s="2"/>
    </row>
    <row r="5607" spans="5:5" x14ac:dyDescent="0.25">
      <c r="E5607" s="2"/>
    </row>
    <row r="5608" spans="5:5" x14ac:dyDescent="0.25">
      <c r="E5608" s="2"/>
    </row>
    <row r="5609" spans="5:5" x14ac:dyDescent="0.25">
      <c r="E5609" s="2"/>
    </row>
    <row r="5610" spans="5:5" x14ac:dyDescent="0.25">
      <c r="E5610" s="2"/>
    </row>
    <row r="5611" spans="5:5" x14ac:dyDescent="0.25">
      <c r="E5611" s="2"/>
    </row>
    <row r="5612" spans="5:5" x14ac:dyDescent="0.25">
      <c r="E5612" s="2"/>
    </row>
    <row r="5613" spans="5:5" x14ac:dyDescent="0.25">
      <c r="E5613" s="2"/>
    </row>
    <row r="5614" spans="5:5" x14ac:dyDescent="0.25">
      <c r="E5614" s="2"/>
    </row>
    <row r="5615" spans="5:5" x14ac:dyDescent="0.25">
      <c r="E5615" s="2"/>
    </row>
    <row r="5616" spans="5:5" x14ac:dyDescent="0.25">
      <c r="E5616" s="2"/>
    </row>
    <row r="5617" spans="5:5" x14ac:dyDescent="0.25">
      <c r="E5617" s="2"/>
    </row>
    <row r="5618" spans="5:5" x14ac:dyDescent="0.25">
      <c r="E5618" s="2"/>
    </row>
    <row r="5619" spans="5:5" x14ac:dyDescent="0.25">
      <c r="E5619" s="2"/>
    </row>
    <row r="5620" spans="5:5" x14ac:dyDescent="0.25">
      <c r="E5620" s="2"/>
    </row>
    <row r="5621" spans="5:5" x14ac:dyDescent="0.25">
      <c r="E5621" s="2"/>
    </row>
    <row r="5622" spans="5:5" x14ac:dyDescent="0.25">
      <c r="E5622" s="2"/>
    </row>
    <row r="5623" spans="5:5" x14ac:dyDescent="0.25">
      <c r="E5623" s="2"/>
    </row>
    <row r="5624" spans="5:5" x14ac:dyDescent="0.25">
      <c r="E5624" s="2"/>
    </row>
    <row r="5625" spans="5:5" x14ac:dyDescent="0.25">
      <c r="E5625" s="2"/>
    </row>
    <row r="5626" spans="5:5" x14ac:dyDescent="0.25">
      <c r="E5626" s="2"/>
    </row>
    <row r="5627" spans="5:5" x14ac:dyDescent="0.25">
      <c r="E5627" s="2"/>
    </row>
    <row r="5628" spans="5:5" x14ac:dyDescent="0.25">
      <c r="E5628" s="2"/>
    </row>
    <row r="5629" spans="5:5" x14ac:dyDescent="0.25">
      <c r="E5629" s="2"/>
    </row>
    <row r="5630" spans="5:5" x14ac:dyDescent="0.25">
      <c r="E5630" s="2"/>
    </row>
    <row r="5631" spans="5:5" x14ac:dyDescent="0.25">
      <c r="E5631" s="2"/>
    </row>
    <row r="5632" spans="5:5" x14ac:dyDescent="0.25">
      <c r="E5632" s="2"/>
    </row>
    <row r="5633" spans="5:5" x14ac:dyDescent="0.25">
      <c r="E5633" s="2"/>
    </row>
    <row r="5634" spans="5:5" x14ac:dyDescent="0.25">
      <c r="E5634" s="2"/>
    </row>
    <row r="5635" spans="5:5" x14ac:dyDescent="0.25">
      <c r="E5635" s="2"/>
    </row>
    <row r="5636" spans="5:5" x14ac:dyDescent="0.25">
      <c r="E5636" s="2"/>
    </row>
    <row r="5637" spans="5:5" x14ac:dyDescent="0.25">
      <c r="E5637" s="2"/>
    </row>
    <row r="5638" spans="5:5" x14ac:dyDescent="0.25">
      <c r="E5638" s="2"/>
    </row>
    <row r="5639" spans="5:5" x14ac:dyDescent="0.25">
      <c r="E5639" s="2"/>
    </row>
    <row r="5640" spans="5:5" x14ac:dyDescent="0.25">
      <c r="E5640" s="2"/>
    </row>
    <row r="5641" spans="5:5" x14ac:dyDescent="0.25">
      <c r="E5641" s="2"/>
    </row>
    <row r="5642" spans="5:5" x14ac:dyDescent="0.25">
      <c r="E5642" s="2"/>
    </row>
    <row r="5643" spans="5:5" x14ac:dyDescent="0.25">
      <c r="E5643" s="2"/>
    </row>
    <row r="5644" spans="5:5" x14ac:dyDescent="0.25">
      <c r="E5644" s="2"/>
    </row>
    <row r="5645" spans="5:5" x14ac:dyDescent="0.25">
      <c r="E5645" s="2"/>
    </row>
    <row r="5646" spans="5:5" x14ac:dyDescent="0.25">
      <c r="E5646" s="2"/>
    </row>
    <row r="5647" spans="5:5" x14ac:dyDescent="0.25">
      <c r="E5647" s="2"/>
    </row>
    <row r="5648" spans="5:5" x14ac:dyDescent="0.25">
      <c r="E5648" s="2"/>
    </row>
    <row r="5649" spans="5:5" x14ac:dyDescent="0.25">
      <c r="E5649" s="2"/>
    </row>
    <row r="5650" spans="5:5" x14ac:dyDescent="0.25">
      <c r="E5650" s="2"/>
    </row>
    <row r="5651" spans="5:5" x14ac:dyDescent="0.25">
      <c r="E5651" s="2"/>
    </row>
    <row r="5652" spans="5:5" x14ac:dyDescent="0.25">
      <c r="E5652" s="2"/>
    </row>
    <row r="5653" spans="5:5" x14ac:dyDescent="0.25">
      <c r="E5653" s="2"/>
    </row>
    <row r="5654" spans="5:5" x14ac:dyDescent="0.25">
      <c r="E5654" s="2"/>
    </row>
    <row r="5655" spans="5:5" x14ac:dyDescent="0.25">
      <c r="E5655" s="2"/>
    </row>
    <row r="5656" spans="5:5" x14ac:dyDescent="0.25">
      <c r="E5656" s="2"/>
    </row>
    <row r="5657" spans="5:5" x14ac:dyDescent="0.25">
      <c r="E5657" s="2"/>
    </row>
    <row r="5658" spans="5:5" x14ac:dyDescent="0.25">
      <c r="E5658" s="2"/>
    </row>
    <row r="5659" spans="5:5" x14ac:dyDescent="0.25">
      <c r="E5659" s="2"/>
    </row>
    <row r="5660" spans="5:5" x14ac:dyDescent="0.25">
      <c r="E5660" s="2"/>
    </row>
    <row r="5661" spans="5:5" x14ac:dyDescent="0.25">
      <c r="E5661" s="2"/>
    </row>
    <row r="5662" spans="5:5" x14ac:dyDescent="0.25">
      <c r="E5662" s="2"/>
    </row>
    <row r="5663" spans="5:5" x14ac:dyDescent="0.25">
      <c r="E5663" s="2"/>
    </row>
    <row r="5664" spans="5:5" x14ac:dyDescent="0.25">
      <c r="E5664" s="2"/>
    </row>
    <row r="5665" spans="5:5" x14ac:dyDescent="0.25">
      <c r="E5665" s="2"/>
    </row>
    <row r="5666" spans="5:5" x14ac:dyDescent="0.25">
      <c r="E5666" s="2"/>
    </row>
    <row r="5667" spans="5:5" x14ac:dyDescent="0.25">
      <c r="E5667" s="2"/>
    </row>
    <row r="5668" spans="5:5" x14ac:dyDescent="0.25">
      <c r="E5668" s="2"/>
    </row>
    <row r="5669" spans="5:5" x14ac:dyDescent="0.25">
      <c r="E5669" s="2"/>
    </row>
    <row r="5670" spans="5:5" x14ac:dyDescent="0.25">
      <c r="E5670" s="2"/>
    </row>
    <row r="5671" spans="5:5" x14ac:dyDescent="0.25">
      <c r="E5671" s="2"/>
    </row>
    <row r="5672" spans="5:5" x14ac:dyDescent="0.25">
      <c r="E5672" s="2"/>
    </row>
    <row r="5673" spans="5:5" x14ac:dyDescent="0.25">
      <c r="E5673" s="2"/>
    </row>
    <row r="5674" spans="5:5" x14ac:dyDescent="0.25">
      <c r="E5674" s="2"/>
    </row>
    <row r="5675" spans="5:5" x14ac:dyDescent="0.25">
      <c r="E5675" s="2"/>
    </row>
    <row r="5676" spans="5:5" x14ac:dyDescent="0.25">
      <c r="E5676" s="2"/>
    </row>
    <row r="5677" spans="5:5" x14ac:dyDescent="0.25">
      <c r="E5677" s="2"/>
    </row>
    <row r="5678" spans="5:5" x14ac:dyDescent="0.25">
      <c r="E5678" s="2"/>
    </row>
    <row r="5679" spans="5:5" x14ac:dyDescent="0.25">
      <c r="E5679" s="2"/>
    </row>
    <row r="5680" spans="5:5" x14ac:dyDescent="0.25">
      <c r="E5680" s="2"/>
    </row>
    <row r="5681" spans="5:5" x14ac:dyDescent="0.25">
      <c r="E5681" s="2"/>
    </row>
    <row r="5682" spans="5:5" x14ac:dyDescent="0.25">
      <c r="E5682" s="2"/>
    </row>
    <row r="5683" spans="5:5" x14ac:dyDescent="0.25">
      <c r="E5683" s="2"/>
    </row>
    <row r="5684" spans="5:5" x14ac:dyDescent="0.25">
      <c r="E5684" s="2"/>
    </row>
    <row r="5685" spans="5:5" x14ac:dyDescent="0.25">
      <c r="E5685" s="2"/>
    </row>
    <row r="5686" spans="5:5" x14ac:dyDescent="0.25">
      <c r="E5686" s="2"/>
    </row>
    <row r="5687" spans="5:5" x14ac:dyDescent="0.25">
      <c r="E5687" s="2"/>
    </row>
    <row r="5688" spans="5:5" x14ac:dyDescent="0.25">
      <c r="E5688" s="2"/>
    </row>
    <row r="5689" spans="5:5" x14ac:dyDescent="0.25">
      <c r="E5689" s="2"/>
    </row>
    <row r="5690" spans="5:5" x14ac:dyDescent="0.25">
      <c r="E5690" s="2"/>
    </row>
    <row r="5691" spans="5:5" x14ac:dyDescent="0.25">
      <c r="E5691" s="2"/>
    </row>
    <row r="5692" spans="5:5" x14ac:dyDescent="0.25">
      <c r="E5692" s="2"/>
    </row>
    <row r="5693" spans="5:5" x14ac:dyDescent="0.25">
      <c r="E5693" s="2"/>
    </row>
    <row r="5694" spans="5:5" x14ac:dyDescent="0.25">
      <c r="E5694" s="2"/>
    </row>
    <row r="5695" spans="5:5" x14ac:dyDescent="0.25">
      <c r="E5695" s="2"/>
    </row>
    <row r="5696" spans="5:5" x14ac:dyDescent="0.25">
      <c r="E5696" s="2"/>
    </row>
    <row r="5697" spans="5:5" x14ac:dyDescent="0.25">
      <c r="E5697" s="2"/>
    </row>
    <row r="5698" spans="5:5" x14ac:dyDescent="0.25">
      <c r="E5698" s="2"/>
    </row>
    <row r="5699" spans="5:5" x14ac:dyDescent="0.25">
      <c r="E5699" s="2"/>
    </row>
    <row r="5700" spans="5:5" x14ac:dyDescent="0.25">
      <c r="E5700" s="2"/>
    </row>
    <row r="5701" spans="5:5" x14ac:dyDescent="0.25">
      <c r="E5701" s="2"/>
    </row>
    <row r="5702" spans="5:5" x14ac:dyDescent="0.25">
      <c r="E5702" s="2"/>
    </row>
    <row r="5703" spans="5:5" x14ac:dyDescent="0.25">
      <c r="E5703" s="2"/>
    </row>
    <row r="5704" spans="5:5" x14ac:dyDescent="0.25">
      <c r="E5704" s="2"/>
    </row>
    <row r="5705" spans="5:5" x14ac:dyDescent="0.25">
      <c r="E5705" s="2"/>
    </row>
    <row r="5706" spans="5:5" x14ac:dyDescent="0.25">
      <c r="E5706" s="2"/>
    </row>
    <row r="5707" spans="5:5" x14ac:dyDescent="0.25">
      <c r="E5707" s="2"/>
    </row>
    <row r="5708" spans="5:5" x14ac:dyDescent="0.25">
      <c r="E5708" s="2"/>
    </row>
    <row r="5709" spans="5:5" x14ac:dyDescent="0.25">
      <c r="E5709" s="2"/>
    </row>
    <row r="5710" spans="5:5" x14ac:dyDescent="0.25">
      <c r="E5710" s="2"/>
    </row>
    <row r="5711" spans="5:5" x14ac:dyDescent="0.25">
      <c r="E5711" s="2"/>
    </row>
    <row r="5712" spans="5:5" x14ac:dyDescent="0.25">
      <c r="E5712" s="2"/>
    </row>
    <row r="5713" spans="5:5" x14ac:dyDescent="0.25">
      <c r="E5713" s="2"/>
    </row>
    <row r="5714" spans="5:5" x14ac:dyDescent="0.25">
      <c r="E5714" s="2"/>
    </row>
    <row r="5715" spans="5:5" x14ac:dyDescent="0.25">
      <c r="E5715" s="2"/>
    </row>
    <row r="5716" spans="5:5" x14ac:dyDescent="0.25">
      <c r="E5716" s="2"/>
    </row>
    <row r="5717" spans="5:5" x14ac:dyDescent="0.25">
      <c r="E5717" s="2"/>
    </row>
    <row r="5718" spans="5:5" x14ac:dyDescent="0.25">
      <c r="E5718" s="2"/>
    </row>
    <row r="5719" spans="5:5" x14ac:dyDescent="0.25">
      <c r="E5719" s="2"/>
    </row>
    <row r="5720" spans="5:5" x14ac:dyDescent="0.25">
      <c r="E5720" s="2"/>
    </row>
    <row r="5721" spans="5:5" x14ac:dyDescent="0.25">
      <c r="E5721" s="2"/>
    </row>
    <row r="5722" spans="5:5" x14ac:dyDescent="0.25">
      <c r="E5722" s="2"/>
    </row>
    <row r="5723" spans="5:5" x14ac:dyDescent="0.25">
      <c r="E5723" s="2"/>
    </row>
    <row r="5724" spans="5:5" x14ac:dyDescent="0.25">
      <c r="E5724" s="2"/>
    </row>
    <row r="5725" spans="5:5" x14ac:dyDescent="0.25">
      <c r="E5725" s="2"/>
    </row>
    <row r="5726" spans="5:5" x14ac:dyDescent="0.25">
      <c r="E5726" s="2"/>
    </row>
    <row r="5727" spans="5:5" x14ac:dyDescent="0.25">
      <c r="E5727" s="2"/>
    </row>
    <row r="5728" spans="5:5" x14ac:dyDescent="0.25">
      <c r="E5728" s="2"/>
    </row>
    <row r="5729" spans="5:5" x14ac:dyDescent="0.25">
      <c r="E5729" s="2"/>
    </row>
    <row r="5730" spans="5:5" x14ac:dyDescent="0.25">
      <c r="E5730" s="2"/>
    </row>
    <row r="5731" spans="5:5" x14ac:dyDescent="0.25">
      <c r="E5731" s="2"/>
    </row>
    <row r="5732" spans="5:5" x14ac:dyDescent="0.25">
      <c r="E5732" s="2"/>
    </row>
    <row r="5733" spans="5:5" x14ac:dyDescent="0.25">
      <c r="E5733" s="2"/>
    </row>
    <row r="5734" spans="5:5" x14ac:dyDescent="0.25">
      <c r="E5734" s="2"/>
    </row>
    <row r="5735" spans="5:5" x14ac:dyDescent="0.25">
      <c r="E5735" s="2"/>
    </row>
    <row r="5736" spans="5:5" x14ac:dyDescent="0.25">
      <c r="E5736" s="2"/>
    </row>
    <row r="5737" spans="5:5" x14ac:dyDescent="0.25">
      <c r="E5737" s="2"/>
    </row>
    <row r="5738" spans="5:5" x14ac:dyDescent="0.25">
      <c r="E5738" s="2"/>
    </row>
    <row r="5739" spans="5:5" x14ac:dyDescent="0.25">
      <c r="E5739" s="2"/>
    </row>
    <row r="5740" spans="5:5" x14ac:dyDescent="0.25">
      <c r="E5740" s="2"/>
    </row>
    <row r="5741" spans="5:5" x14ac:dyDescent="0.25">
      <c r="E5741" s="2"/>
    </row>
    <row r="5742" spans="5:5" x14ac:dyDescent="0.25">
      <c r="E5742" s="2"/>
    </row>
    <row r="5743" spans="5:5" x14ac:dyDescent="0.25">
      <c r="E5743" s="2"/>
    </row>
    <row r="5744" spans="5:5" x14ac:dyDescent="0.25">
      <c r="E5744" s="2"/>
    </row>
    <row r="5745" spans="5:5" x14ac:dyDescent="0.25">
      <c r="E5745" s="2"/>
    </row>
    <row r="5746" spans="5:5" x14ac:dyDescent="0.25">
      <c r="E5746" s="2"/>
    </row>
    <row r="5747" spans="5:5" x14ac:dyDescent="0.25">
      <c r="E5747" s="2"/>
    </row>
    <row r="5748" spans="5:5" x14ac:dyDescent="0.25">
      <c r="E5748" s="2"/>
    </row>
    <row r="5749" spans="5:5" x14ac:dyDescent="0.25">
      <c r="E5749" s="2"/>
    </row>
    <row r="5750" spans="5:5" x14ac:dyDescent="0.25">
      <c r="E5750" s="2"/>
    </row>
    <row r="5751" spans="5:5" x14ac:dyDescent="0.25">
      <c r="E5751" s="2"/>
    </row>
    <row r="5752" spans="5:5" x14ac:dyDescent="0.25">
      <c r="E5752" s="2"/>
    </row>
    <row r="5753" spans="5:5" x14ac:dyDescent="0.25">
      <c r="E5753" s="2"/>
    </row>
    <row r="5754" spans="5:5" x14ac:dyDescent="0.25">
      <c r="E5754" s="2"/>
    </row>
    <row r="5755" spans="5:5" x14ac:dyDescent="0.25">
      <c r="E5755" s="2"/>
    </row>
    <row r="5756" spans="5:5" x14ac:dyDescent="0.25">
      <c r="E5756" s="2"/>
    </row>
    <row r="5757" spans="5:5" x14ac:dyDescent="0.25">
      <c r="E5757" s="2"/>
    </row>
    <row r="5758" spans="5:5" x14ac:dyDescent="0.25">
      <c r="E5758" s="2"/>
    </row>
    <row r="5759" spans="5:5" x14ac:dyDescent="0.25">
      <c r="E5759" s="2"/>
    </row>
    <row r="5760" spans="5:5" x14ac:dyDescent="0.25">
      <c r="E5760" s="2"/>
    </row>
    <row r="5761" spans="5:5" x14ac:dyDescent="0.25">
      <c r="E5761" s="2"/>
    </row>
    <row r="5762" spans="5:5" x14ac:dyDescent="0.25">
      <c r="E5762" s="2"/>
    </row>
    <row r="5763" spans="5:5" x14ac:dyDescent="0.25">
      <c r="E5763" s="2"/>
    </row>
    <row r="5764" spans="5:5" x14ac:dyDescent="0.25">
      <c r="E5764" s="2"/>
    </row>
    <row r="5765" spans="5:5" x14ac:dyDescent="0.25">
      <c r="E5765" s="2"/>
    </row>
    <row r="5766" spans="5:5" x14ac:dyDescent="0.25">
      <c r="E5766" s="2"/>
    </row>
    <row r="5767" spans="5:5" x14ac:dyDescent="0.25">
      <c r="E5767" s="2"/>
    </row>
    <row r="5768" spans="5:5" x14ac:dyDescent="0.25">
      <c r="E5768" s="2"/>
    </row>
    <row r="5769" spans="5:5" x14ac:dyDescent="0.25">
      <c r="E5769" s="2"/>
    </row>
    <row r="5770" spans="5:5" x14ac:dyDescent="0.25">
      <c r="E5770" s="2"/>
    </row>
    <row r="5771" spans="5:5" x14ac:dyDescent="0.25">
      <c r="E5771" s="2"/>
    </row>
    <row r="5772" spans="5:5" x14ac:dyDescent="0.25">
      <c r="E5772" s="2"/>
    </row>
    <row r="5773" spans="5:5" x14ac:dyDescent="0.25">
      <c r="E5773" s="2"/>
    </row>
    <row r="5774" spans="5:5" x14ac:dyDescent="0.25">
      <c r="E5774" s="2"/>
    </row>
    <row r="5775" spans="5:5" x14ac:dyDescent="0.25">
      <c r="E5775" s="2"/>
    </row>
    <row r="5776" spans="5:5" x14ac:dyDescent="0.25">
      <c r="E5776" s="2"/>
    </row>
    <row r="5777" spans="5:5" x14ac:dyDescent="0.25">
      <c r="E5777" s="2"/>
    </row>
    <row r="5778" spans="5:5" x14ac:dyDescent="0.25">
      <c r="E5778" s="2"/>
    </row>
    <row r="5779" spans="5:5" x14ac:dyDescent="0.25">
      <c r="E5779" s="2"/>
    </row>
    <row r="5780" spans="5:5" x14ac:dyDescent="0.25">
      <c r="E5780" s="2"/>
    </row>
    <row r="5781" spans="5:5" x14ac:dyDescent="0.25">
      <c r="E5781" s="2"/>
    </row>
    <row r="5782" spans="5:5" x14ac:dyDescent="0.25">
      <c r="E5782" s="2"/>
    </row>
    <row r="5783" spans="5:5" x14ac:dyDescent="0.25">
      <c r="E5783" s="2"/>
    </row>
    <row r="5784" spans="5:5" x14ac:dyDescent="0.25">
      <c r="E5784" s="2"/>
    </row>
    <row r="5785" spans="5:5" x14ac:dyDescent="0.25">
      <c r="E5785" s="2"/>
    </row>
    <row r="5786" spans="5:5" x14ac:dyDescent="0.25">
      <c r="E5786" s="2"/>
    </row>
    <row r="5787" spans="5:5" x14ac:dyDescent="0.25">
      <c r="E5787" s="2"/>
    </row>
    <row r="5788" spans="5:5" x14ac:dyDescent="0.25">
      <c r="E5788" s="2"/>
    </row>
    <row r="5789" spans="5:5" x14ac:dyDescent="0.25">
      <c r="E5789" s="2"/>
    </row>
    <row r="5790" spans="5:5" x14ac:dyDescent="0.25">
      <c r="E5790" s="2"/>
    </row>
    <row r="5791" spans="5:5" x14ac:dyDescent="0.25">
      <c r="E5791" s="2"/>
    </row>
    <row r="5792" spans="5:5" x14ac:dyDescent="0.25">
      <c r="E5792" s="2"/>
    </row>
    <row r="5793" spans="5:5" x14ac:dyDescent="0.25">
      <c r="E5793" s="2"/>
    </row>
    <row r="5794" spans="5:5" x14ac:dyDescent="0.25">
      <c r="E5794" s="2"/>
    </row>
    <row r="5795" spans="5:5" x14ac:dyDescent="0.25">
      <c r="E5795" s="2"/>
    </row>
    <row r="5796" spans="5:5" x14ac:dyDescent="0.25">
      <c r="E5796" s="2"/>
    </row>
    <row r="5797" spans="5:5" x14ac:dyDescent="0.25">
      <c r="E5797" s="2"/>
    </row>
    <row r="5798" spans="5:5" x14ac:dyDescent="0.25">
      <c r="E5798" s="2"/>
    </row>
    <row r="5799" spans="5:5" x14ac:dyDescent="0.25">
      <c r="E5799" s="2"/>
    </row>
    <row r="5800" spans="5:5" x14ac:dyDescent="0.25">
      <c r="E5800" s="2"/>
    </row>
    <row r="5801" spans="5:5" x14ac:dyDescent="0.25">
      <c r="E5801" s="2"/>
    </row>
    <row r="5802" spans="5:5" x14ac:dyDescent="0.25">
      <c r="E5802" s="2"/>
    </row>
    <row r="5803" spans="5:5" x14ac:dyDescent="0.25">
      <c r="E5803" s="2"/>
    </row>
    <row r="5804" spans="5:5" x14ac:dyDescent="0.25">
      <c r="E5804" s="2"/>
    </row>
    <row r="5805" spans="5:5" x14ac:dyDescent="0.25">
      <c r="E5805" s="2"/>
    </row>
    <row r="5806" spans="5:5" x14ac:dyDescent="0.25">
      <c r="E5806" s="2"/>
    </row>
    <row r="5807" spans="5:5" x14ac:dyDescent="0.25">
      <c r="E5807" s="2"/>
    </row>
    <row r="5808" spans="5:5" x14ac:dyDescent="0.25">
      <c r="E5808" s="2"/>
    </row>
    <row r="5809" spans="5:5" x14ac:dyDescent="0.25">
      <c r="E5809" s="2"/>
    </row>
    <row r="5810" spans="5:5" x14ac:dyDescent="0.25">
      <c r="E5810" s="2"/>
    </row>
    <row r="5811" spans="5:5" x14ac:dyDescent="0.25">
      <c r="E5811" s="2"/>
    </row>
    <row r="5812" spans="5:5" x14ac:dyDescent="0.25">
      <c r="E5812" s="2"/>
    </row>
    <row r="5813" spans="5:5" x14ac:dyDescent="0.25">
      <c r="E5813" s="2"/>
    </row>
    <row r="5814" spans="5:5" x14ac:dyDescent="0.25">
      <c r="E5814" s="2"/>
    </row>
    <row r="5815" spans="5:5" x14ac:dyDescent="0.25">
      <c r="E5815" s="2"/>
    </row>
    <row r="5816" spans="5:5" x14ac:dyDescent="0.25">
      <c r="E5816" s="2"/>
    </row>
    <row r="5817" spans="5:5" x14ac:dyDescent="0.25">
      <c r="E5817" s="2"/>
    </row>
    <row r="5818" spans="5:5" x14ac:dyDescent="0.25">
      <c r="E5818" s="2"/>
    </row>
    <row r="5819" spans="5:5" x14ac:dyDescent="0.25">
      <c r="E5819" s="2"/>
    </row>
    <row r="5820" spans="5:5" x14ac:dyDescent="0.25">
      <c r="E5820" s="2"/>
    </row>
    <row r="5821" spans="5:5" x14ac:dyDescent="0.25">
      <c r="E5821" s="2"/>
    </row>
    <row r="5822" spans="5:5" x14ac:dyDescent="0.25">
      <c r="E5822" s="2"/>
    </row>
    <row r="5823" spans="5:5" x14ac:dyDescent="0.25">
      <c r="E5823" s="2"/>
    </row>
    <row r="5824" spans="5:5" x14ac:dyDescent="0.25">
      <c r="E5824" s="2"/>
    </row>
    <row r="5825" spans="5:5" x14ac:dyDescent="0.25">
      <c r="E5825" s="2"/>
    </row>
    <row r="5826" spans="5:5" x14ac:dyDescent="0.25">
      <c r="E5826" s="2"/>
    </row>
    <row r="5827" spans="5:5" x14ac:dyDescent="0.25">
      <c r="E5827" s="2"/>
    </row>
    <row r="5828" spans="5:5" x14ac:dyDescent="0.25">
      <c r="E5828" s="2"/>
    </row>
    <row r="5829" spans="5:5" x14ac:dyDescent="0.25">
      <c r="E5829" s="2"/>
    </row>
    <row r="5830" spans="5:5" x14ac:dyDescent="0.25">
      <c r="E5830" s="2"/>
    </row>
    <row r="5831" spans="5:5" x14ac:dyDescent="0.25">
      <c r="E5831" s="2"/>
    </row>
    <row r="5832" spans="5:5" x14ac:dyDescent="0.25">
      <c r="E5832" s="2"/>
    </row>
    <row r="5833" spans="5:5" x14ac:dyDescent="0.25">
      <c r="E5833" s="2"/>
    </row>
    <row r="5834" spans="5:5" x14ac:dyDescent="0.25">
      <c r="E5834" s="2"/>
    </row>
    <row r="5835" spans="5:5" x14ac:dyDescent="0.25">
      <c r="E5835" s="2"/>
    </row>
    <row r="5836" spans="5:5" x14ac:dyDescent="0.25">
      <c r="E5836" s="2"/>
    </row>
    <row r="5837" spans="5:5" x14ac:dyDescent="0.25">
      <c r="E5837" s="2"/>
    </row>
    <row r="5838" spans="5:5" x14ac:dyDescent="0.25">
      <c r="E5838" s="2"/>
    </row>
    <row r="5839" spans="5:5" x14ac:dyDescent="0.25">
      <c r="E5839" s="2"/>
    </row>
    <row r="5840" spans="5:5" x14ac:dyDescent="0.25">
      <c r="E5840" s="2"/>
    </row>
    <row r="5841" spans="5:5" x14ac:dyDescent="0.25">
      <c r="E5841" s="2"/>
    </row>
    <row r="5842" spans="5:5" x14ac:dyDescent="0.25">
      <c r="E5842" s="2"/>
    </row>
    <row r="5843" spans="5:5" x14ac:dyDescent="0.25">
      <c r="E5843" s="2"/>
    </row>
    <row r="5844" spans="5:5" x14ac:dyDescent="0.25">
      <c r="E5844" s="2"/>
    </row>
    <row r="5845" spans="5:5" x14ac:dyDescent="0.25">
      <c r="E5845" s="2"/>
    </row>
    <row r="5846" spans="5:5" x14ac:dyDescent="0.25">
      <c r="E5846" s="2"/>
    </row>
    <row r="5847" spans="5:5" x14ac:dyDescent="0.25">
      <c r="E5847" s="2"/>
    </row>
    <row r="5848" spans="5:5" x14ac:dyDescent="0.25">
      <c r="E5848" s="2"/>
    </row>
    <row r="5849" spans="5:5" x14ac:dyDescent="0.25">
      <c r="E5849" s="2"/>
    </row>
    <row r="5850" spans="5:5" x14ac:dyDescent="0.25">
      <c r="E5850" s="2"/>
    </row>
    <row r="5851" spans="5:5" x14ac:dyDescent="0.25">
      <c r="E5851" s="2"/>
    </row>
    <row r="5852" spans="5:5" x14ac:dyDescent="0.25">
      <c r="E5852" s="2"/>
    </row>
    <row r="5853" spans="5:5" x14ac:dyDescent="0.25">
      <c r="E5853" s="2"/>
    </row>
    <row r="5854" spans="5:5" x14ac:dyDescent="0.25">
      <c r="E5854" s="2"/>
    </row>
    <row r="5855" spans="5:5" x14ac:dyDescent="0.25">
      <c r="E5855" s="2"/>
    </row>
    <row r="5856" spans="5:5" x14ac:dyDescent="0.25">
      <c r="E5856" s="2"/>
    </row>
    <row r="5857" spans="5:5" x14ac:dyDescent="0.25">
      <c r="E5857" s="2"/>
    </row>
    <row r="5858" spans="5:5" x14ac:dyDescent="0.25">
      <c r="E5858" s="2"/>
    </row>
    <row r="5859" spans="5:5" x14ac:dyDescent="0.25">
      <c r="E5859" s="2"/>
    </row>
    <row r="5860" spans="5:5" x14ac:dyDescent="0.25">
      <c r="E5860" s="2"/>
    </row>
    <row r="5861" spans="5:5" x14ac:dyDescent="0.25">
      <c r="E5861" s="2"/>
    </row>
    <row r="5862" spans="5:5" x14ac:dyDescent="0.25">
      <c r="E5862" s="2"/>
    </row>
    <row r="5863" spans="5:5" x14ac:dyDescent="0.25">
      <c r="E5863" s="2"/>
    </row>
    <row r="5864" spans="5:5" x14ac:dyDescent="0.25">
      <c r="E5864" s="2"/>
    </row>
    <row r="5865" spans="5:5" x14ac:dyDescent="0.25">
      <c r="E5865" s="2"/>
    </row>
    <row r="5866" spans="5:5" x14ac:dyDescent="0.25">
      <c r="E5866" s="2"/>
    </row>
    <row r="5867" spans="5:5" x14ac:dyDescent="0.25">
      <c r="E5867" s="2"/>
    </row>
    <row r="5868" spans="5:5" x14ac:dyDescent="0.25">
      <c r="E5868" s="2"/>
    </row>
    <row r="5869" spans="5:5" x14ac:dyDescent="0.25">
      <c r="E5869" s="2"/>
    </row>
    <row r="5870" spans="5:5" x14ac:dyDescent="0.25">
      <c r="E5870" s="2"/>
    </row>
    <row r="5871" spans="5:5" x14ac:dyDescent="0.25">
      <c r="E5871" s="2"/>
    </row>
    <row r="5872" spans="5:5" x14ac:dyDescent="0.25">
      <c r="E5872" s="2"/>
    </row>
    <row r="5873" spans="5:5" x14ac:dyDescent="0.25">
      <c r="E5873" s="2"/>
    </row>
    <row r="5874" spans="5:5" x14ac:dyDescent="0.25">
      <c r="E5874" s="2"/>
    </row>
    <row r="5875" spans="5:5" x14ac:dyDescent="0.25">
      <c r="E5875" s="2"/>
    </row>
    <row r="5876" spans="5:5" x14ac:dyDescent="0.25">
      <c r="E5876" s="2"/>
    </row>
    <row r="5877" spans="5:5" x14ac:dyDescent="0.25">
      <c r="E5877" s="2"/>
    </row>
    <row r="5878" spans="5:5" x14ac:dyDescent="0.25">
      <c r="E5878" s="2"/>
    </row>
    <row r="5879" spans="5:5" x14ac:dyDescent="0.25">
      <c r="E5879" s="2"/>
    </row>
    <row r="5880" spans="5:5" x14ac:dyDescent="0.25">
      <c r="E5880" s="2"/>
    </row>
    <row r="5881" spans="5:5" x14ac:dyDescent="0.25">
      <c r="E5881" s="2"/>
    </row>
    <row r="5882" spans="5:5" x14ac:dyDescent="0.25">
      <c r="E5882" s="2"/>
    </row>
    <row r="5883" spans="5:5" x14ac:dyDescent="0.25">
      <c r="E5883" s="2"/>
    </row>
    <row r="5884" spans="5:5" x14ac:dyDescent="0.25">
      <c r="E5884" s="2"/>
    </row>
    <row r="5885" spans="5:5" x14ac:dyDescent="0.25">
      <c r="E5885" s="2"/>
    </row>
    <row r="5886" spans="5:5" x14ac:dyDescent="0.25">
      <c r="E5886" s="2"/>
    </row>
    <row r="5887" spans="5:5" x14ac:dyDescent="0.25">
      <c r="E5887" s="2"/>
    </row>
    <row r="5888" spans="5:5" x14ac:dyDescent="0.25">
      <c r="E5888" s="2"/>
    </row>
    <row r="5889" spans="5:5" x14ac:dyDescent="0.25">
      <c r="E5889" s="2"/>
    </row>
    <row r="5890" spans="5:5" x14ac:dyDescent="0.25">
      <c r="E5890" s="2"/>
    </row>
    <row r="5891" spans="5:5" x14ac:dyDescent="0.25">
      <c r="E5891" s="2"/>
    </row>
    <row r="5892" spans="5:5" x14ac:dyDescent="0.25">
      <c r="E5892" s="2"/>
    </row>
    <row r="5893" spans="5:5" x14ac:dyDescent="0.25">
      <c r="E5893" s="2"/>
    </row>
    <row r="5894" spans="5:5" x14ac:dyDescent="0.25">
      <c r="E5894" s="2"/>
    </row>
    <row r="5895" spans="5:5" x14ac:dyDescent="0.25">
      <c r="E5895" s="2"/>
    </row>
    <row r="5896" spans="5:5" x14ac:dyDescent="0.25">
      <c r="E5896" s="2"/>
    </row>
    <row r="5897" spans="5:5" x14ac:dyDescent="0.25">
      <c r="E5897" s="2"/>
    </row>
    <row r="5898" spans="5:5" x14ac:dyDescent="0.25">
      <c r="E5898" s="2"/>
    </row>
    <row r="5899" spans="5:5" x14ac:dyDescent="0.25">
      <c r="E5899" s="2"/>
    </row>
    <row r="5900" spans="5:5" x14ac:dyDescent="0.25">
      <c r="E5900" s="2"/>
    </row>
    <row r="5901" spans="5:5" x14ac:dyDescent="0.25">
      <c r="E5901" s="2"/>
    </row>
    <row r="5902" spans="5:5" x14ac:dyDescent="0.25">
      <c r="E5902" s="2"/>
    </row>
    <row r="5903" spans="5:5" x14ac:dyDescent="0.25">
      <c r="E5903" s="2"/>
    </row>
    <row r="5904" spans="5:5" x14ac:dyDescent="0.25">
      <c r="E5904" s="2"/>
    </row>
    <row r="5905" spans="5:5" x14ac:dyDescent="0.25">
      <c r="E5905" s="2"/>
    </row>
    <row r="5906" spans="5:5" x14ac:dyDescent="0.25">
      <c r="E5906" s="2"/>
    </row>
    <row r="5907" spans="5:5" x14ac:dyDescent="0.25">
      <c r="E5907" s="2"/>
    </row>
    <row r="5908" spans="5:5" x14ac:dyDescent="0.25">
      <c r="E5908" s="2"/>
    </row>
    <row r="5909" spans="5:5" x14ac:dyDescent="0.25">
      <c r="E5909" s="2"/>
    </row>
    <row r="5910" spans="5:5" x14ac:dyDescent="0.25">
      <c r="E5910" s="2"/>
    </row>
    <row r="5911" spans="5:5" x14ac:dyDescent="0.25">
      <c r="E5911" s="2"/>
    </row>
    <row r="5912" spans="5:5" x14ac:dyDescent="0.25">
      <c r="E5912" s="2"/>
    </row>
    <row r="5913" spans="5:5" x14ac:dyDescent="0.25">
      <c r="E5913" s="2"/>
    </row>
    <row r="5914" spans="5:5" x14ac:dyDescent="0.25">
      <c r="E5914" s="2"/>
    </row>
    <row r="5915" spans="5:5" x14ac:dyDescent="0.25">
      <c r="E5915" s="2"/>
    </row>
    <row r="5916" spans="5:5" x14ac:dyDescent="0.25">
      <c r="E5916" s="2"/>
    </row>
    <row r="5917" spans="5:5" x14ac:dyDescent="0.25">
      <c r="E5917" s="2"/>
    </row>
    <row r="5918" spans="5:5" x14ac:dyDescent="0.25">
      <c r="E5918" s="2"/>
    </row>
    <row r="5919" spans="5:5" x14ac:dyDescent="0.25">
      <c r="E5919" s="2"/>
    </row>
    <row r="5920" spans="5:5" x14ac:dyDescent="0.25">
      <c r="E5920" s="2"/>
    </row>
    <row r="5921" spans="5:5" x14ac:dyDescent="0.25">
      <c r="E5921" s="2"/>
    </row>
    <row r="5922" spans="5:5" x14ac:dyDescent="0.25">
      <c r="E5922" s="2"/>
    </row>
    <row r="5923" spans="5:5" x14ac:dyDescent="0.25">
      <c r="E5923" s="2"/>
    </row>
    <row r="5924" spans="5:5" x14ac:dyDescent="0.25">
      <c r="E5924" s="2"/>
    </row>
    <row r="5925" spans="5:5" x14ac:dyDescent="0.25">
      <c r="E5925" s="2"/>
    </row>
    <row r="5926" spans="5:5" x14ac:dyDescent="0.25">
      <c r="E5926" s="2"/>
    </row>
    <row r="5927" spans="5:5" x14ac:dyDescent="0.25">
      <c r="E5927" s="2"/>
    </row>
    <row r="5928" spans="5:5" x14ac:dyDescent="0.25">
      <c r="E5928" s="2"/>
    </row>
    <row r="5929" spans="5:5" x14ac:dyDescent="0.25">
      <c r="E5929" s="2"/>
    </row>
    <row r="5930" spans="5:5" x14ac:dyDescent="0.25">
      <c r="E5930" s="2"/>
    </row>
    <row r="5931" spans="5:5" x14ac:dyDescent="0.25">
      <c r="E5931" s="2"/>
    </row>
    <row r="5932" spans="5:5" x14ac:dyDescent="0.25">
      <c r="E5932" s="2"/>
    </row>
    <row r="5933" spans="5:5" x14ac:dyDescent="0.25">
      <c r="E5933" s="2"/>
    </row>
    <row r="5934" spans="5:5" x14ac:dyDescent="0.25">
      <c r="E5934" s="2"/>
    </row>
    <row r="5935" spans="5:5" x14ac:dyDescent="0.25">
      <c r="E5935" s="2"/>
    </row>
    <row r="5936" spans="5:5" x14ac:dyDescent="0.25">
      <c r="E5936" s="2"/>
    </row>
    <row r="5937" spans="5:5" x14ac:dyDescent="0.25">
      <c r="E5937" s="2"/>
    </row>
    <row r="5938" spans="5:5" x14ac:dyDescent="0.25">
      <c r="E5938" s="2"/>
    </row>
    <row r="5939" spans="5:5" x14ac:dyDescent="0.25">
      <c r="E5939" s="2"/>
    </row>
    <row r="5940" spans="5:5" x14ac:dyDescent="0.25">
      <c r="E5940" s="2"/>
    </row>
    <row r="5941" spans="5:5" x14ac:dyDescent="0.25">
      <c r="E5941" s="2"/>
    </row>
    <row r="5942" spans="5:5" x14ac:dyDescent="0.25">
      <c r="E5942" s="2"/>
    </row>
    <row r="5943" spans="5:5" x14ac:dyDescent="0.25">
      <c r="E5943" s="2"/>
    </row>
    <row r="5944" spans="5:5" x14ac:dyDescent="0.25">
      <c r="E5944" s="2"/>
    </row>
    <row r="5945" spans="5:5" x14ac:dyDescent="0.25">
      <c r="E5945" s="2"/>
    </row>
    <row r="5946" spans="5:5" x14ac:dyDescent="0.25">
      <c r="E5946" s="2"/>
    </row>
    <row r="5947" spans="5:5" x14ac:dyDescent="0.25">
      <c r="E5947" s="2"/>
    </row>
    <row r="5948" spans="5:5" x14ac:dyDescent="0.25">
      <c r="E5948" s="2"/>
    </row>
    <row r="5949" spans="5:5" x14ac:dyDescent="0.25">
      <c r="E5949" s="2"/>
    </row>
    <row r="5950" spans="5:5" x14ac:dyDescent="0.25">
      <c r="E5950" s="2"/>
    </row>
    <row r="5951" spans="5:5" x14ac:dyDescent="0.25">
      <c r="E5951" s="2"/>
    </row>
    <row r="5952" spans="5:5" x14ac:dyDescent="0.25">
      <c r="E5952" s="2"/>
    </row>
    <row r="5953" spans="5:5" x14ac:dyDescent="0.25">
      <c r="E5953" s="2"/>
    </row>
    <row r="5954" spans="5:5" x14ac:dyDescent="0.25">
      <c r="E5954" s="2"/>
    </row>
    <row r="5955" spans="5:5" x14ac:dyDescent="0.25">
      <c r="E5955" s="2"/>
    </row>
    <row r="5956" spans="5:5" x14ac:dyDescent="0.25">
      <c r="E5956" s="2"/>
    </row>
    <row r="5957" spans="5:5" x14ac:dyDescent="0.25">
      <c r="E5957" s="2"/>
    </row>
    <row r="5958" spans="5:5" x14ac:dyDescent="0.25">
      <c r="E5958" s="2"/>
    </row>
    <row r="5959" spans="5:5" x14ac:dyDescent="0.25">
      <c r="E5959" s="2"/>
    </row>
    <row r="5960" spans="5:5" x14ac:dyDescent="0.25">
      <c r="E5960" s="2"/>
    </row>
    <row r="5961" spans="5:5" x14ac:dyDescent="0.25">
      <c r="E5961" s="2"/>
    </row>
    <row r="5962" spans="5:5" x14ac:dyDescent="0.25">
      <c r="E5962" s="2"/>
    </row>
    <row r="5963" spans="5:5" x14ac:dyDescent="0.25">
      <c r="E5963" s="2"/>
    </row>
    <row r="5964" spans="5:5" x14ac:dyDescent="0.25">
      <c r="E5964" s="2"/>
    </row>
    <row r="5965" spans="5:5" x14ac:dyDescent="0.25">
      <c r="E5965" s="2"/>
    </row>
    <row r="5966" spans="5:5" x14ac:dyDescent="0.25">
      <c r="E5966" s="2"/>
    </row>
    <row r="5967" spans="5:5" x14ac:dyDescent="0.25">
      <c r="E5967" s="2"/>
    </row>
    <row r="5968" spans="5:5" x14ac:dyDescent="0.25">
      <c r="E5968" s="2"/>
    </row>
    <row r="5969" spans="5:5" x14ac:dyDescent="0.25">
      <c r="E5969" s="2"/>
    </row>
    <row r="5970" spans="5:5" x14ac:dyDescent="0.25">
      <c r="E5970" s="2"/>
    </row>
    <row r="5971" spans="5:5" x14ac:dyDescent="0.25">
      <c r="E5971" s="2"/>
    </row>
    <row r="5972" spans="5:5" x14ac:dyDescent="0.25">
      <c r="E5972" s="2"/>
    </row>
    <row r="5973" spans="5:5" x14ac:dyDescent="0.25">
      <c r="E5973" s="2"/>
    </row>
    <row r="5974" spans="5:5" x14ac:dyDescent="0.25">
      <c r="E5974" s="2"/>
    </row>
    <row r="5975" spans="5:5" x14ac:dyDescent="0.25">
      <c r="E5975" s="2"/>
    </row>
    <row r="5976" spans="5:5" x14ac:dyDescent="0.25">
      <c r="E5976" s="2"/>
    </row>
    <row r="5977" spans="5:5" x14ac:dyDescent="0.25">
      <c r="E5977" s="2"/>
    </row>
    <row r="5978" spans="5:5" x14ac:dyDescent="0.25">
      <c r="E5978" s="2"/>
    </row>
    <row r="5979" spans="5:5" x14ac:dyDescent="0.25">
      <c r="E5979" s="2"/>
    </row>
    <row r="5980" spans="5:5" x14ac:dyDescent="0.25">
      <c r="E5980" s="2"/>
    </row>
    <row r="5981" spans="5:5" x14ac:dyDescent="0.25">
      <c r="E5981" s="2"/>
    </row>
    <row r="5982" spans="5:5" x14ac:dyDescent="0.25">
      <c r="E5982" s="2"/>
    </row>
    <row r="5983" spans="5:5" x14ac:dyDescent="0.25">
      <c r="E5983" s="2"/>
    </row>
    <row r="5984" spans="5:5" x14ac:dyDescent="0.25">
      <c r="E5984" s="2"/>
    </row>
    <row r="5985" spans="5:5" x14ac:dyDescent="0.25">
      <c r="E5985" s="2"/>
    </row>
    <row r="5986" spans="5:5" x14ac:dyDescent="0.25">
      <c r="E5986" s="2"/>
    </row>
    <row r="5987" spans="5:5" x14ac:dyDescent="0.25">
      <c r="E5987" s="2"/>
    </row>
    <row r="5988" spans="5:5" x14ac:dyDescent="0.25">
      <c r="E5988" s="2"/>
    </row>
    <row r="5989" spans="5:5" x14ac:dyDescent="0.25">
      <c r="E5989" s="2"/>
    </row>
    <row r="5990" spans="5:5" x14ac:dyDescent="0.25">
      <c r="E5990" s="2"/>
    </row>
    <row r="5991" spans="5:5" x14ac:dyDescent="0.25">
      <c r="E5991" s="2"/>
    </row>
    <row r="5992" spans="5:5" x14ac:dyDescent="0.25">
      <c r="E5992" s="2"/>
    </row>
    <row r="5993" spans="5:5" x14ac:dyDescent="0.25">
      <c r="E5993" s="2"/>
    </row>
    <row r="5994" spans="5:5" x14ac:dyDescent="0.25">
      <c r="E5994" s="2"/>
    </row>
    <row r="5995" spans="5:5" x14ac:dyDescent="0.25">
      <c r="E5995" s="2"/>
    </row>
    <row r="5996" spans="5:5" x14ac:dyDescent="0.25">
      <c r="E5996" s="2"/>
    </row>
    <row r="5997" spans="5:5" x14ac:dyDescent="0.25">
      <c r="E5997" s="2"/>
    </row>
    <row r="5998" spans="5:5" x14ac:dyDescent="0.25">
      <c r="E5998" s="2"/>
    </row>
    <row r="5999" spans="5:5" x14ac:dyDescent="0.25">
      <c r="E5999" s="2"/>
    </row>
    <row r="6000" spans="5:5" x14ac:dyDescent="0.25">
      <c r="E6000" s="2"/>
    </row>
    <row r="6001" spans="5:5" x14ac:dyDescent="0.25">
      <c r="E6001" s="2"/>
    </row>
    <row r="6002" spans="5:5" x14ac:dyDescent="0.25">
      <c r="E6002" s="2"/>
    </row>
    <row r="6003" spans="5:5" x14ac:dyDescent="0.25">
      <c r="E6003" s="2"/>
    </row>
    <row r="6004" spans="5:5" x14ac:dyDescent="0.25">
      <c r="E6004" s="2"/>
    </row>
    <row r="6005" spans="5:5" x14ac:dyDescent="0.25">
      <c r="E6005" s="2"/>
    </row>
    <row r="6006" spans="5:5" x14ac:dyDescent="0.25">
      <c r="E6006" s="2"/>
    </row>
    <row r="6007" spans="5:5" x14ac:dyDescent="0.25">
      <c r="E6007" s="2"/>
    </row>
    <row r="6008" spans="5:5" x14ac:dyDescent="0.25">
      <c r="E6008" s="2"/>
    </row>
    <row r="6009" spans="5:5" x14ac:dyDescent="0.25">
      <c r="E6009" s="2"/>
    </row>
    <row r="6010" spans="5:5" x14ac:dyDescent="0.25">
      <c r="E6010" s="2"/>
    </row>
    <row r="6011" spans="5:5" x14ac:dyDescent="0.25">
      <c r="E6011" s="2"/>
    </row>
    <row r="6012" spans="5:5" x14ac:dyDescent="0.25">
      <c r="E6012" s="2"/>
    </row>
    <row r="6013" spans="5:5" x14ac:dyDescent="0.25">
      <c r="E6013" s="2"/>
    </row>
    <row r="6014" spans="5:5" x14ac:dyDescent="0.25">
      <c r="E6014" s="2"/>
    </row>
    <row r="6015" spans="5:5" x14ac:dyDescent="0.25">
      <c r="E6015" s="2"/>
    </row>
    <row r="6016" spans="5:5" x14ac:dyDescent="0.25">
      <c r="E6016" s="2"/>
    </row>
    <row r="6017" spans="5:5" x14ac:dyDescent="0.25">
      <c r="E6017" s="2"/>
    </row>
    <row r="6018" spans="5:5" x14ac:dyDescent="0.25">
      <c r="E6018" s="2"/>
    </row>
    <row r="6019" spans="5:5" x14ac:dyDescent="0.25">
      <c r="E6019" s="2"/>
    </row>
    <row r="6020" spans="5:5" x14ac:dyDescent="0.25">
      <c r="E6020" s="2"/>
    </row>
    <row r="6021" spans="5:5" x14ac:dyDescent="0.25">
      <c r="E6021" s="2"/>
    </row>
    <row r="6022" spans="5:5" x14ac:dyDescent="0.25">
      <c r="E6022" s="2"/>
    </row>
    <row r="6023" spans="5:5" x14ac:dyDescent="0.25">
      <c r="E6023" s="2"/>
    </row>
    <row r="6024" spans="5:5" x14ac:dyDescent="0.25">
      <c r="E6024" s="2"/>
    </row>
    <row r="6025" spans="5:5" x14ac:dyDescent="0.25">
      <c r="E6025" s="2"/>
    </row>
    <row r="6026" spans="5:5" x14ac:dyDescent="0.25">
      <c r="E6026" s="2"/>
    </row>
    <row r="6027" spans="5:5" x14ac:dyDescent="0.25">
      <c r="E6027" s="2"/>
    </row>
    <row r="6028" spans="5:5" x14ac:dyDescent="0.25">
      <c r="E6028" s="2"/>
    </row>
    <row r="6029" spans="5:5" x14ac:dyDescent="0.25">
      <c r="E6029" s="2"/>
    </row>
    <row r="6030" spans="5:5" x14ac:dyDescent="0.25">
      <c r="E6030" s="2"/>
    </row>
    <row r="6031" spans="5:5" x14ac:dyDescent="0.25">
      <c r="E6031" s="2"/>
    </row>
    <row r="6032" spans="5:5" x14ac:dyDescent="0.25">
      <c r="E6032" s="2"/>
    </row>
    <row r="6033" spans="5:5" x14ac:dyDescent="0.25">
      <c r="E6033" s="2"/>
    </row>
    <row r="6034" spans="5:5" x14ac:dyDescent="0.25">
      <c r="E6034" s="2"/>
    </row>
    <row r="6035" spans="5:5" x14ac:dyDescent="0.25">
      <c r="E6035" s="2"/>
    </row>
    <row r="6036" spans="5:5" x14ac:dyDescent="0.25">
      <c r="E6036" s="2"/>
    </row>
    <row r="6037" spans="5:5" x14ac:dyDescent="0.25">
      <c r="E6037" s="2"/>
    </row>
    <row r="6038" spans="5:5" x14ac:dyDescent="0.25">
      <c r="E6038" s="2"/>
    </row>
    <row r="6039" spans="5:5" x14ac:dyDescent="0.25">
      <c r="E6039" s="2"/>
    </row>
    <row r="6040" spans="5:5" x14ac:dyDescent="0.25">
      <c r="E6040" s="2"/>
    </row>
    <row r="6041" spans="5:5" x14ac:dyDescent="0.25">
      <c r="E6041" s="2"/>
    </row>
    <row r="6042" spans="5:5" x14ac:dyDescent="0.25">
      <c r="E6042" s="2"/>
    </row>
    <row r="6043" spans="5:5" x14ac:dyDescent="0.25">
      <c r="E6043" s="2"/>
    </row>
    <row r="6044" spans="5:5" x14ac:dyDescent="0.25">
      <c r="E6044" s="2"/>
    </row>
    <row r="6045" spans="5:5" x14ac:dyDescent="0.25">
      <c r="E6045" s="2"/>
    </row>
    <row r="6046" spans="5:5" x14ac:dyDescent="0.25">
      <c r="E6046" s="2"/>
    </row>
    <row r="6047" spans="5:5" x14ac:dyDescent="0.25">
      <c r="E6047" s="2"/>
    </row>
    <row r="6048" spans="5:5" x14ac:dyDescent="0.25">
      <c r="E6048" s="2"/>
    </row>
    <row r="6049" spans="5:5" x14ac:dyDescent="0.25">
      <c r="E6049" s="2"/>
    </row>
    <row r="6050" spans="5:5" x14ac:dyDescent="0.25">
      <c r="E6050" s="2"/>
    </row>
    <row r="6051" spans="5:5" x14ac:dyDescent="0.25">
      <c r="E6051" s="2"/>
    </row>
    <row r="6052" spans="5:5" x14ac:dyDescent="0.25">
      <c r="E6052" s="2"/>
    </row>
    <row r="6053" spans="5:5" x14ac:dyDescent="0.25">
      <c r="E6053" s="2"/>
    </row>
    <row r="6054" spans="5:5" x14ac:dyDescent="0.25">
      <c r="E6054" s="2"/>
    </row>
    <row r="6055" spans="5:5" x14ac:dyDescent="0.25">
      <c r="E6055" s="2"/>
    </row>
    <row r="6056" spans="5:5" x14ac:dyDescent="0.25">
      <c r="E6056" s="2"/>
    </row>
    <row r="6057" spans="5:5" x14ac:dyDescent="0.25">
      <c r="E6057" s="2"/>
    </row>
    <row r="6058" spans="5:5" x14ac:dyDescent="0.25">
      <c r="E6058" s="2"/>
    </row>
    <row r="6059" spans="5:5" x14ac:dyDescent="0.25">
      <c r="E6059" s="2"/>
    </row>
    <row r="6060" spans="5:5" x14ac:dyDescent="0.25">
      <c r="E6060" s="2"/>
    </row>
    <row r="6061" spans="5:5" x14ac:dyDescent="0.25">
      <c r="E6061" s="2"/>
    </row>
    <row r="6062" spans="5:5" x14ac:dyDescent="0.25">
      <c r="E6062" s="2"/>
    </row>
    <row r="6063" spans="5:5" x14ac:dyDescent="0.25">
      <c r="E6063" s="2"/>
    </row>
    <row r="6064" spans="5:5" x14ac:dyDescent="0.25">
      <c r="E6064" s="2"/>
    </row>
    <row r="6065" spans="5:5" x14ac:dyDescent="0.25">
      <c r="E6065" s="2"/>
    </row>
    <row r="6066" spans="5:5" x14ac:dyDescent="0.25">
      <c r="E6066" s="2"/>
    </row>
    <row r="6067" spans="5:5" x14ac:dyDescent="0.25">
      <c r="E6067" s="2"/>
    </row>
    <row r="6068" spans="5:5" x14ac:dyDescent="0.25">
      <c r="E6068" s="2"/>
    </row>
    <row r="6069" spans="5:5" x14ac:dyDescent="0.25">
      <c r="E6069" s="2"/>
    </row>
    <row r="6070" spans="5:5" x14ac:dyDescent="0.25">
      <c r="E6070" s="2"/>
    </row>
    <row r="6071" spans="5:5" x14ac:dyDescent="0.25">
      <c r="E6071" s="2"/>
    </row>
    <row r="6072" spans="5:5" x14ac:dyDescent="0.25">
      <c r="E6072" s="2"/>
    </row>
    <row r="6073" spans="5:5" x14ac:dyDescent="0.25">
      <c r="E6073" s="2"/>
    </row>
    <row r="6074" spans="5:5" x14ac:dyDescent="0.25">
      <c r="E6074" s="2"/>
    </row>
    <row r="6075" spans="5:5" x14ac:dyDescent="0.25">
      <c r="E6075" s="2"/>
    </row>
    <row r="6076" spans="5:5" x14ac:dyDescent="0.25">
      <c r="E6076" s="2"/>
    </row>
    <row r="6077" spans="5:5" x14ac:dyDescent="0.25">
      <c r="E6077" s="2"/>
    </row>
    <row r="6078" spans="5:5" x14ac:dyDescent="0.25">
      <c r="E6078" s="2"/>
    </row>
    <row r="6079" spans="5:5" x14ac:dyDescent="0.25">
      <c r="E6079" s="2"/>
    </row>
    <row r="6080" spans="5:5" x14ac:dyDescent="0.25">
      <c r="E6080" s="2"/>
    </row>
    <row r="6081" spans="5:5" x14ac:dyDescent="0.25">
      <c r="E6081" s="2"/>
    </row>
    <row r="6082" spans="5:5" x14ac:dyDescent="0.25">
      <c r="E6082" s="2"/>
    </row>
    <row r="6083" spans="5:5" x14ac:dyDescent="0.25">
      <c r="E6083" s="2"/>
    </row>
    <row r="6084" spans="5:5" x14ac:dyDescent="0.25">
      <c r="E6084" s="2"/>
    </row>
    <row r="6085" spans="5:5" x14ac:dyDescent="0.25">
      <c r="E6085" s="2"/>
    </row>
    <row r="6086" spans="5:5" x14ac:dyDescent="0.25">
      <c r="E6086" s="2"/>
    </row>
    <row r="6087" spans="5:5" x14ac:dyDescent="0.25">
      <c r="E6087" s="2"/>
    </row>
    <row r="6088" spans="5:5" x14ac:dyDescent="0.25">
      <c r="E6088" s="2"/>
    </row>
    <row r="6089" spans="5:5" x14ac:dyDescent="0.25">
      <c r="E6089" s="2"/>
    </row>
    <row r="6090" spans="5:5" x14ac:dyDescent="0.25">
      <c r="E6090" s="2"/>
    </row>
    <row r="6091" spans="5:5" x14ac:dyDescent="0.25">
      <c r="E6091" s="2"/>
    </row>
    <row r="6092" spans="5:5" x14ac:dyDescent="0.25">
      <c r="E6092" s="2"/>
    </row>
    <row r="6093" spans="5:5" x14ac:dyDescent="0.25">
      <c r="E6093" s="2"/>
    </row>
    <row r="6094" spans="5:5" x14ac:dyDescent="0.25">
      <c r="E6094" s="2"/>
    </row>
    <row r="6095" spans="5:5" x14ac:dyDescent="0.25">
      <c r="E6095" s="2"/>
    </row>
    <row r="6096" spans="5:5" x14ac:dyDescent="0.25">
      <c r="E6096" s="2"/>
    </row>
    <row r="6097" spans="5:5" x14ac:dyDescent="0.25">
      <c r="E6097" s="2"/>
    </row>
    <row r="6098" spans="5:5" x14ac:dyDescent="0.25">
      <c r="E6098" s="2"/>
    </row>
    <row r="6099" spans="5:5" x14ac:dyDescent="0.25">
      <c r="E6099" s="2"/>
    </row>
    <row r="6100" spans="5:5" x14ac:dyDescent="0.25">
      <c r="E6100" s="2"/>
    </row>
    <row r="6101" spans="5:5" x14ac:dyDescent="0.25">
      <c r="E6101" s="2"/>
    </row>
    <row r="6102" spans="5:5" x14ac:dyDescent="0.25">
      <c r="E6102" s="2"/>
    </row>
    <row r="6103" spans="5:5" x14ac:dyDescent="0.25">
      <c r="E6103" s="2"/>
    </row>
    <row r="6104" spans="5:5" x14ac:dyDescent="0.25">
      <c r="E6104" s="2"/>
    </row>
    <row r="6105" spans="5:5" x14ac:dyDescent="0.25">
      <c r="E6105" s="2"/>
    </row>
    <row r="6106" spans="5:5" x14ac:dyDescent="0.25">
      <c r="E6106" s="2"/>
    </row>
    <row r="6107" spans="5:5" x14ac:dyDescent="0.25">
      <c r="E6107" s="2"/>
    </row>
    <row r="6108" spans="5:5" x14ac:dyDescent="0.25">
      <c r="E6108" s="2"/>
    </row>
    <row r="6109" spans="5:5" x14ac:dyDescent="0.25">
      <c r="E6109" s="2"/>
    </row>
    <row r="6110" spans="5:5" x14ac:dyDescent="0.25">
      <c r="E6110" s="2"/>
    </row>
    <row r="6111" spans="5:5" x14ac:dyDescent="0.25">
      <c r="E6111" s="2"/>
    </row>
    <row r="6112" spans="5:5" x14ac:dyDescent="0.25">
      <c r="E6112" s="2"/>
    </row>
    <row r="6113" spans="5:5" x14ac:dyDescent="0.25">
      <c r="E6113" s="2"/>
    </row>
    <row r="6114" spans="5:5" x14ac:dyDescent="0.25">
      <c r="E6114" s="2"/>
    </row>
    <row r="6115" spans="5:5" x14ac:dyDescent="0.25">
      <c r="E6115" s="2"/>
    </row>
    <row r="6116" spans="5:5" x14ac:dyDescent="0.25">
      <c r="E6116" s="2"/>
    </row>
    <row r="6117" spans="5:5" x14ac:dyDescent="0.25">
      <c r="E6117" s="2"/>
    </row>
    <row r="6118" spans="5:5" x14ac:dyDescent="0.25">
      <c r="E6118" s="2"/>
    </row>
    <row r="6119" spans="5:5" x14ac:dyDescent="0.25">
      <c r="E6119" s="2"/>
    </row>
    <row r="6120" spans="5:5" x14ac:dyDescent="0.25">
      <c r="E6120" s="2"/>
    </row>
    <row r="6121" spans="5:5" x14ac:dyDescent="0.25">
      <c r="E6121" s="2"/>
    </row>
    <row r="6122" spans="5:5" x14ac:dyDescent="0.25">
      <c r="E6122" s="2"/>
    </row>
    <row r="6123" spans="5:5" x14ac:dyDescent="0.25">
      <c r="E6123" s="2"/>
    </row>
    <row r="6124" spans="5:5" x14ac:dyDescent="0.25">
      <c r="E6124" s="2"/>
    </row>
    <row r="6125" spans="5:5" x14ac:dyDescent="0.25">
      <c r="E6125" s="2"/>
    </row>
    <row r="6126" spans="5:5" x14ac:dyDescent="0.25">
      <c r="E6126" s="2"/>
    </row>
    <row r="6127" spans="5:5" x14ac:dyDescent="0.25">
      <c r="E6127" s="2"/>
    </row>
    <row r="6128" spans="5:5" x14ac:dyDescent="0.25">
      <c r="E6128" s="2"/>
    </row>
    <row r="6129" spans="5:5" x14ac:dyDescent="0.25">
      <c r="E6129" s="2"/>
    </row>
    <row r="6130" spans="5:5" x14ac:dyDescent="0.25">
      <c r="E6130" s="2"/>
    </row>
    <row r="6131" spans="5:5" x14ac:dyDescent="0.25">
      <c r="E6131" s="2"/>
    </row>
    <row r="6132" spans="5:5" x14ac:dyDescent="0.25">
      <c r="E6132" s="2"/>
    </row>
    <row r="6133" spans="5:5" x14ac:dyDescent="0.25">
      <c r="E6133" s="2"/>
    </row>
    <row r="6134" spans="5:5" x14ac:dyDescent="0.25">
      <c r="E6134" s="2"/>
    </row>
    <row r="6135" spans="5:5" x14ac:dyDescent="0.25">
      <c r="E6135" s="2"/>
    </row>
    <row r="6136" spans="5:5" x14ac:dyDescent="0.25">
      <c r="E6136" s="2"/>
    </row>
    <row r="6137" spans="5:5" x14ac:dyDescent="0.25">
      <c r="E6137" s="2"/>
    </row>
    <row r="6138" spans="5:5" x14ac:dyDescent="0.25">
      <c r="E6138" s="2"/>
    </row>
    <row r="6139" spans="5:5" x14ac:dyDescent="0.25">
      <c r="E6139" s="2"/>
    </row>
    <row r="6140" spans="5:5" x14ac:dyDescent="0.25">
      <c r="E6140" s="2"/>
    </row>
    <row r="6141" spans="5:5" x14ac:dyDescent="0.25">
      <c r="E6141" s="2"/>
    </row>
    <row r="6142" spans="5:5" x14ac:dyDescent="0.25">
      <c r="E6142" s="2"/>
    </row>
    <row r="6143" spans="5:5" x14ac:dyDescent="0.25">
      <c r="E6143" s="2"/>
    </row>
    <row r="6144" spans="5:5" x14ac:dyDescent="0.25">
      <c r="E6144" s="2"/>
    </row>
    <row r="6145" spans="5:5" x14ac:dyDescent="0.25">
      <c r="E6145" s="2"/>
    </row>
    <row r="6146" spans="5:5" x14ac:dyDescent="0.25">
      <c r="E6146" s="2"/>
    </row>
    <row r="6147" spans="5:5" x14ac:dyDescent="0.25">
      <c r="E6147" s="2"/>
    </row>
    <row r="6148" spans="5:5" x14ac:dyDescent="0.25">
      <c r="E6148" s="2"/>
    </row>
    <row r="6149" spans="5:5" x14ac:dyDescent="0.25">
      <c r="E6149" s="2"/>
    </row>
    <row r="6150" spans="5:5" x14ac:dyDescent="0.25">
      <c r="E6150" s="2"/>
    </row>
    <row r="6151" spans="5:5" x14ac:dyDescent="0.25">
      <c r="E6151" s="2"/>
    </row>
    <row r="6152" spans="5:5" x14ac:dyDescent="0.25">
      <c r="E6152" s="2"/>
    </row>
    <row r="6153" spans="5:5" x14ac:dyDescent="0.25">
      <c r="E6153" s="2"/>
    </row>
    <row r="6154" spans="5:5" x14ac:dyDescent="0.25">
      <c r="E6154" s="2"/>
    </row>
    <row r="6155" spans="5:5" x14ac:dyDescent="0.25">
      <c r="E6155" s="2"/>
    </row>
    <row r="6156" spans="5:5" x14ac:dyDescent="0.25">
      <c r="E6156" s="2"/>
    </row>
    <row r="6157" spans="5:5" x14ac:dyDescent="0.25">
      <c r="E6157" s="2"/>
    </row>
    <row r="6158" spans="5:5" x14ac:dyDescent="0.25">
      <c r="E6158" s="2"/>
    </row>
    <row r="6159" spans="5:5" x14ac:dyDescent="0.25">
      <c r="E6159" s="2"/>
    </row>
    <row r="6160" spans="5:5" x14ac:dyDescent="0.25">
      <c r="E6160" s="2"/>
    </row>
    <row r="6161" spans="5:5" x14ac:dyDescent="0.25">
      <c r="E6161" s="2"/>
    </row>
    <row r="6162" spans="5:5" x14ac:dyDescent="0.25">
      <c r="E6162" s="2"/>
    </row>
    <row r="6163" spans="5:5" x14ac:dyDescent="0.25">
      <c r="E6163" s="2"/>
    </row>
    <row r="6164" spans="5:5" x14ac:dyDescent="0.25">
      <c r="E6164" s="2"/>
    </row>
    <row r="6165" spans="5:5" x14ac:dyDescent="0.25">
      <c r="E6165" s="2"/>
    </row>
    <row r="6166" spans="5:5" x14ac:dyDescent="0.25">
      <c r="E6166" s="2"/>
    </row>
    <row r="6167" spans="5:5" x14ac:dyDescent="0.25">
      <c r="E6167" s="2"/>
    </row>
    <row r="6168" spans="5:5" x14ac:dyDescent="0.25">
      <c r="E6168" s="2"/>
    </row>
    <row r="6169" spans="5:5" x14ac:dyDescent="0.25">
      <c r="E6169" s="2"/>
    </row>
    <row r="6170" spans="5:5" x14ac:dyDescent="0.25">
      <c r="E6170" s="2"/>
    </row>
    <row r="6171" spans="5:5" x14ac:dyDescent="0.25">
      <c r="E6171" s="2"/>
    </row>
    <row r="6172" spans="5:5" x14ac:dyDescent="0.25">
      <c r="E6172" s="2"/>
    </row>
    <row r="6173" spans="5:5" x14ac:dyDescent="0.25">
      <c r="E6173" s="2"/>
    </row>
    <row r="6174" spans="5:5" x14ac:dyDescent="0.25">
      <c r="E6174" s="2"/>
    </row>
    <row r="6175" spans="5:5" x14ac:dyDescent="0.25">
      <c r="E6175" s="2"/>
    </row>
    <row r="6176" spans="5:5" x14ac:dyDescent="0.25">
      <c r="E6176" s="2"/>
    </row>
    <row r="6177" spans="5:5" x14ac:dyDescent="0.25">
      <c r="E6177" s="2"/>
    </row>
    <row r="6178" spans="5:5" x14ac:dyDescent="0.25">
      <c r="E6178" s="2"/>
    </row>
    <row r="6179" spans="5:5" x14ac:dyDescent="0.25">
      <c r="E6179" s="2"/>
    </row>
    <row r="6180" spans="5:5" x14ac:dyDescent="0.25">
      <c r="E6180" s="2"/>
    </row>
    <row r="6181" spans="5:5" x14ac:dyDescent="0.25">
      <c r="E6181" s="2"/>
    </row>
    <row r="6182" spans="5:5" x14ac:dyDescent="0.25">
      <c r="E6182" s="2"/>
    </row>
    <row r="6183" spans="5:5" x14ac:dyDescent="0.25">
      <c r="E6183" s="2"/>
    </row>
    <row r="6184" spans="5:5" x14ac:dyDescent="0.25">
      <c r="E6184" s="2"/>
    </row>
    <row r="6185" spans="5:5" x14ac:dyDescent="0.25">
      <c r="E6185" s="2"/>
    </row>
    <row r="6186" spans="5:5" x14ac:dyDescent="0.25">
      <c r="E6186" s="2"/>
    </row>
    <row r="6187" spans="5:5" x14ac:dyDescent="0.25">
      <c r="E6187" s="2"/>
    </row>
    <row r="6188" spans="5:5" x14ac:dyDescent="0.25">
      <c r="E6188" s="2"/>
    </row>
    <row r="6189" spans="5:5" x14ac:dyDescent="0.25">
      <c r="E6189" s="2"/>
    </row>
    <row r="6190" spans="5:5" x14ac:dyDescent="0.25">
      <c r="E6190" s="2"/>
    </row>
    <row r="6191" spans="5:5" x14ac:dyDescent="0.25">
      <c r="E6191" s="2"/>
    </row>
    <row r="6192" spans="5:5" x14ac:dyDescent="0.25">
      <c r="E6192" s="2"/>
    </row>
    <row r="6193" spans="5:5" x14ac:dyDescent="0.25">
      <c r="E6193" s="2"/>
    </row>
    <row r="6194" spans="5:5" x14ac:dyDescent="0.25">
      <c r="E6194" s="2"/>
    </row>
    <row r="6195" spans="5:5" x14ac:dyDescent="0.25">
      <c r="E6195" s="2"/>
    </row>
    <row r="6196" spans="5:5" x14ac:dyDescent="0.25">
      <c r="E6196" s="2"/>
    </row>
    <row r="6197" spans="5:5" x14ac:dyDescent="0.25">
      <c r="E6197" s="2"/>
    </row>
    <row r="6198" spans="5:5" x14ac:dyDescent="0.25">
      <c r="E6198" s="2"/>
    </row>
    <row r="6199" spans="5:5" x14ac:dyDescent="0.25">
      <c r="E6199" s="2"/>
    </row>
    <row r="6200" spans="5:5" x14ac:dyDescent="0.25">
      <c r="E6200" s="2"/>
    </row>
    <row r="6201" spans="5:5" x14ac:dyDescent="0.25">
      <c r="E6201" s="2"/>
    </row>
    <row r="6202" spans="5:5" x14ac:dyDescent="0.25">
      <c r="E6202" s="2"/>
    </row>
    <row r="6203" spans="5:5" x14ac:dyDescent="0.25">
      <c r="E6203" s="2"/>
    </row>
    <row r="6204" spans="5:5" x14ac:dyDescent="0.25">
      <c r="E6204" s="2"/>
    </row>
    <row r="6205" spans="5:5" x14ac:dyDescent="0.25">
      <c r="E6205" s="2"/>
    </row>
    <row r="6206" spans="5:5" x14ac:dyDescent="0.25">
      <c r="E6206" s="2"/>
    </row>
    <row r="6207" spans="5:5" x14ac:dyDescent="0.25">
      <c r="E6207" s="2"/>
    </row>
    <row r="6208" spans="5:5" x14ac:dyDescent="0.25">
      <c r="E6208" s="2"/>
    </row>
    <row r="6209" spans="5:5" x14ac:dyDescent="0.25">
      <c r="E6209" s="2"/>
    </row>
    <row r="6210" spans="5:5" x14ac:dyDescent="0.25">
      <c r="E6210" s="2"/>
    </row>
    <row r="6211" spans="5:5" x14ac:dyDescent="0.25">
      <c r="E6211" s="2"/>
    </row>
    <row r="6212" spans="5:5" x14ac:dyDescent="0.25">
      <c r="E6212" s="2"/>
    </row>
    <row r="6213" spans="5:5" x14ac:dyDescent="0.25">
      <c r="E6213" s="2"/>
    </row>
    <row r="6214" spans="5:5" x14ac:dyDescent="0.25">
      <c r="E6214" s="2"/>
    </row>
    <row r="6215" spans="5:5" x14ac:dyDescent="0.25">
      <c r="E6215" s="2"/>
    </row>
    <row r="6216" spans="5:5" x14ac:dyDescent="0.25">
      <c r="E6216" s="2"/>
    </row>
    <row r="6217" spans="5:5" x14ac:dyDescent="0.25">
      <c r="E6217" s="2"/>
    </row>
    <row r="6218" spans="5:5" x14ac:dyDescent="0.25">
      <c r="E6218" s="2"/>
    </row>
    <row r="6219" spans="5:5" x14ac:dyDescent="0.25">
      <c r="E6219" s="2"/>
    </row>
    <row r="6220" spans="5:5" x14ac:dyDescent="0.25">
      <c r="E6220" s="2"/>
    </row>
    <row r="6221" spans="5:5" x14ac:dyDescent="0.25">
      <c r="E6221" s="2"/>
    </row>
    <row r="6222" spans="5:5" x14ac:dyDescent="0.25">
      <c r="E6222" s="2"/>
    </row>
    <row r="6223" spans="5:5" x14ac:dyDescent="0.25">
      <c r="E6223" s="2"/>
    </row>
    <row r="6224" spans="5:5" x14ac:dyDescent="0.25">
      <c r="E6224" s="2"/>
    </row>
    <row r="6225" spans="5:5" x14ac:dyDescent="0.25">
      <c r="E6225" s="2"/>
    </row>
    <row r="6226" spans="5:5" x14ac:dyDescent="0.25">
      <c r="E6226" s="2"/>
    </row>
    <row r="6227" spans="5:5" x14ac:dyDescent="0.25">
      <c r="E6227" s="2"/>
    </row>
    <row r="6228" spans="5:5" x14ac:dyDescent="0.25">
      <c r="E6228" s="2"/>
    </row>
    <row r="6229" spans="5:5" x14ac:dyDescent="0.25">
      <c r="E6229" s="2"/>
    </row>
    <row r="6230" spans="5:5" x14ac:dyDescent="0.25">
      <c r="E6230" s="2"/>
    </row>
    <row r="6231" spans="5:5" x14ac:dyDescent="0.25">
      <c r="E6231" s="2"/>
    </row>
    <row r="6232" spans="5:5" x14ac:dyDescent="0.25">
      <c r="E6232" s="2"/>
    </row>
    <row r="6233" spans="5:5" x14ac:dyDescent="0.25">
      <c r="E6233" s="2"/>
    </row>
    <row r="6234" spans="5:5" x14ac:dyDescent="0.25">
      <c r="E6234" s="2"/>
    </row>
    <row r="6235" spans="5:5" x14ac:dyDescent="0.25">
      <c r="E6235" s="2"/>
    </row>
    <row r="6236" spans="5:5" x14ac:dyDescent="0.25">
      <c r="E6236" s="2"/>
    </row>
    <row r="6237" spans="5:5" x14ac:dyDescent="0.25">
      <c r="E6237" s="2"/>
    </row>
    <row r="6238" spans="5:5" x14ac:dyDescent="0.25">
      <c r="E6238" s="2"/>
    </row>
    <row r="6239" spans="5:5" x14ac:dyDescent="0.25">
      <c r="E6239" s="2"/>
    </row>
    <row r="6240" spans="5:5" x14ac:dyDescent="0.25">
      <c r="E6240" s="2"/>
    </row>
    <row r="6241" spans="5:5" x14ac:dyDescent="0.25">
      <c r="E6241" s="2"/>
    </row>
    <row r="6242" spans="5:5" x14ac:dyDescent="0.25">
      <c r="E6242" s="2"/>
    </row>
    <row r="6243" spans="5:5" x14ac:dyDescent="0.25">
      <c r="E6243" s="2"/>
    </row>
    <row r="6244" spans="5:5" x14ac:dyDescent="0.25">
      <c r="E6244" s="2"/>
    </row>
    <row r="6245" spans="5:5" x14ac:dyDescent="0.25">
      <c r="E6245" s="2"/>
    </row>
    <row r="6246" spans="5:5" x14ac:dyDescent="0.25">
      <c r="E6246" s="2"/>
    </row>
    <row r="6247" spans="5:5" x14ac:dyDescent="0.25">
      <c r="E6247" s="2"/>
    </row>
    <row r="6248" spans="5:5" x14ac:dyDescent="0.25">
      <c r="E6248" s="2"/>
    </row>
    <row r="6249" spans="5:5" x14ac:dyDescent="0.25">
      <c r="E6249" s="2"/>
    </row>
    <row r="6250" spans="5:5" x14ac:dyDescent="0.25">
      <c r="E6250" s="2"/>
    </row>
    <row r="6251" spans="5:5" x14ac:dyDescent="0.25">
      <c r="E6251" s="2"/>
    </row>
    <row r="6252" spans="5:5" x14ac:dyDescent="0.25">
      <c r="E6252" s="2"/>
    </row>
    <row r="6253" spans="5:5" x14ac:dyDescent="0.25">
      <c r="E6253" s="2"/>
    </row>
    <row r="6254" spans="5:5" x14ac:dyDescent="0.25">
      <c r="E6254" s="2"/>
    </row>
    <row r="6255" spans="5:5" x14ac:dyDescent="0.25">
      <c r="E6255" s="2"/>
    </row>
    <row r="6256" spans="5:5" x14ac:dyDescent="0.25">
      <c r="E6256" s="2"/>
    </row>
    <row r="6257" spans="5:5" x14ac:dyDescent="0.25">
      <c r="E6257" s="2"/>
    </row>
    <row r="6258" spans="5:5" x14ac:dyDescent="0.25">
      <c r="E6258" s="2"/>
    </row>
    <row r="6259" spans="5:5" x14ac:dyDescent="0.25">
      <c r="E6259" s="2"/>
    </row>
    <row r="6260" spans="5:5" x14ac:dyDescent="0.25">
      <c r="E6260" s="2"/>
    </row>
    <row r="6261" spans="5:5" x14ac:dyDescent="0.25">
      <c r="E6261" s="2"/>
    </row>
    <row r="6262" spans="5:5" x14ac:dyDescent="0.25">
      <c r="E6262" s="2"/>
    </row>
    <row r="6263" spans="5:5" x14ac:dyDescent="0.25">
      <c r="E6263" s="2"/>
    </row>
    <row r="6264" spans="5:5" x14ac:dyDescent="0.25">
      <c r="E6264" s="2"/>
    </row>
    <row r="6265" spans="5:5" x14ac:dyDescent="0.25">
      <c r="E6265" s="2"/>
    </row>
    <row r="6266" spans="5:5" x14ac:dyDescent="0.25">
      <c r="E6266" s="2"/>
    </row>
    <row r="6267" spans="5:5" x14ac:dyDescent="0.25">
      <c r="E6267" s="2"/>
    </row>
    <row r="6268" spans="5:5" x14ac:dyDescent="0.25">
      <c r="E6268" s="2"/>
    </row>
    <row r="6269" spans="5:5" x14ac:dyDescent="0.25">
      <c r="E6269" s="2"/>
    </row>
    <row r="6270" spans="5:5" x14ac:dyDescent="0.25">
      <c r="E6270" s="2"/>
    </row>
    <row r="6271" spans="5:5" x14ac:dyDescent="0.25">
      <c r="E6271" s="2"/>
    </row>
    <row r="6272" spans="5:5" x14ac:dyDescent="0.25">
      <c r="E6272" s="2"/>
    </row>
    <row r="6273" spans="5:5" x14ac:dyDescent="0.25">
      <c r="E6273" s="2"/>
    </row>
    <row r="6274" spans="5:5" x14ac:dyDescent="0.25">
      <c r="E6274" s="2"/>
    </row>
    <row r="6275" spans="5:5" x14ac:dyDescent="0.25">
      <c r="E6275" s="2"/>
    </row>
    <row r="6276" spans="5:5" x14ac:dyDescent="0.25">
      <c r="E6276" s="2"/>
    </row>
    <row r="6277" spans="5:5" x14ac:dyDescent="0.25">
      <c r="E6277" s="2"/>
    </row>
    <row r="6278" spans="5:5" x14ac:dyDescent="0.25">
      <c r="E6278" s="2"/>
    </row>
    <row r="6279" spans="5:5" x14ac:dyDescent="0.25">
      <c r="E6279" s="2"/>
    </row>
    <row r="6280" spans="5:5" x14ac:dyDescent="0.25">
      <c r="E6280" s="2"/>
    </row>
    <row r="6281" spans="5:5" x14ac:dyDescent="0.25">
      <c r="E6281" s="2"/>
    </row>
    <row r="6282" spans="5:5" x14ac:dyDescent="0.25">
      <c r="E6282" s="2"/>
    </row>
    <row r="6283" spans="5:5" x14ac:dyDescent="0.25">
      <c r="E6283" s="2"/>
    </row>
    <row r="6284" spans="5:5" x14ac:dyDescent="0.25">
      <c r="E6284" s="2"/>
    </row>
    <row r="6285" spans="5:5" x14ac:dyDescent="0.25">
      <c r="E6285" s="2"/>
    </row>
    <row r="6286" spans="5:5" x14ac:dyDescent="0.25">
      <c r="E6286" s="2"/>
    </row>
    <row r="6287" spans="5:5" x14ac:dyDescent="0.25">
      <c r="E6287" s="2"/>
    </row>
    <row r="6288" spans="5:5" x14ac:dyDescent="0.25">
      <c r="E6288" s="2"/>
    </row>
    <row r="6289" spans="5:5" x14ac:dyDescent="0.25">
      <c r="E6289" s="2"/>
    </row>
    <row r="6290" spans="5:5" x14ac:dyDescent="0.25">
      <c r="E6290" s="2"/>
    </row>
    <row r="6291" spans="5:5" x14ac:dyDescent="0.25">
      <c r="E6291" s="2"/>
    </row>
    <row r="6292" spans="5:5" x14ac:dyDescent="0.25">
      <c r="E6292" s="2"/>
    </row>
    <row r="6293" spans="5:5" x14ac:dyDescent="0.25">
      <c r="E6293" s="2"/>
    </row>
    <row r="6294" spans="5:5" x14ac:dyDescent="0.25">
      <c r="E6294" s="2"/>
    </row>
    <row r="6295" spans="5:5" x14ac:dyDescent="0.25">
      <c r="E6295" s="2"/>
    </row>
    <row r="6296" spans="5:5" x14ac:dyDescent="0.25">
      <c r="E6296" s="2"/>
    </row>
    <row r="6297" spans="5:5" x14ac:dyDescent="0.25">
      <c r="E6297" s="2"/>
    </row>
    <row r="6298" spans="5:5" x14ac:dyDescent="0.25">
      <c r="E6298" s="2"/>
    </row>
    <row r="6299" spans="5:5" x14ac:dyDescent="0.25">
      <c r="E6299" s="2"/>
    </row>
    <row r="6300" spans="5:5" x14ac:dyDescent="0.25">
      <c r="E6300" s="2"/>
    </row>
    <row r="6301" spans="5:5" x14ac:dyDescent="0.25">
      <c r="E6301" s="2"/>
    </row>
    <row r="6302" spans="5:5" x14ac:dyDescent="0.25">
      <c r="E6302" s="2"/>
    </row>
    <row r="6303" spans="5:5" x14ac:dyDescent="0.25">
      <c r="E6303" s="2"/>
    </row>
    <row r="6304" spans="5:5" x14ac:dyDescent="0.25">
      <c r="E6304" s="2"/>
    </row>
    <row r="6305" spans="5:5" x14ac:dyDescent="0.25">
      <c r="E6305" s="2"/>
    </row>
    <row r="6306" spans="5:5" x14ac:dyDescent="0.25">
      <c r="E6306" s="2"/>
    </row>
    <row r="6307" spans="5:5" x14ac:dyDescent="0.25">
      <c r="E6307" s="2"/>
    </row>
    <row r="6308" spans="5:5" x14ac:dyDescent="0.25">
      <c r="E6308" s="2"/>
    </row>
    <row r="6309" spans="5:5" x14ac:dyDescent="0.25">
      <c r="E6309" s="2"/>
    </row>
    <row r="6310" spans="5:5" x14ac:dyDescent="0.25">
      <c r="E6310" s="2"/>
    </row>
    <row r="6311" spans="5:5" x14ac:dyDescent="0.25">
      <c r="E6311" s="2"/>
    </row>
    <row r="6312" spans="5:5" x14ac:dyDescent="0.25">
      <c r="E6312" s="2"/>
    </row>
    <row r="6313" spans="5:5" x14ac:dyDescent="0.25">
      <c r="E6313" s="2"/>
    </row>
    <row r="6314" spans="5:5" x14ac:dyDescent="0.25">
      <c r="E6314" s="2"/>
    </row>
    <row r="6315" spans="5:5" x14ac:dyDescent="0.25">
      <c r="E6315" s="2"/>
    </row>
    <row r="6316" spans="5:5" x14ac:dyDescent="0.25">
      <c r="E6316" s="2"/>
    </row>
    <row r="6317" spans="5:5" x14ac:dyDescent="0.25">
      <c r="E6317" s="2"/>
    </row>
    <row r="6318" spans="5:5" x14ac:dyDescent="0.25">
      <c r="E6318" s="2"/>
    </row>
    <row r="6319" spans="5:5" x14ac:dyDescent="0.25">
      <c r="E6319" s="2"/>
    </row>
    <row r="6320" spans="5:5" x14ac:dyDescent="0.25">
      <c r="E6320" s="2"/>
    </row>
    <row r="6321" spans="5:5" x14ac:dyDescent="0.25">
      <c r="E6321" s="2"/>
    </row>
    <row r="6322" spans="5:5" x14ac:dyDescent="0.25">
      <c r="E6322" s="2"/>
    </row>
    <row r="6323" spans="5:5" x14ac:dyDescent="0.25">
      <c r="E6323" s="2"/>
    </row>
    <row r="6324" spans="5:5" x14ac:dyDescent="0.25">
      <c r="E6324" s="2"/>
    </row>
    <row r="6325" spans="5:5" x14ac:dyDescent="0.25">
      <c r="E6325" s="2"/>
    </row>
    <row r="6326" spans="5:5" x14ac:dyDescent="0.25">
      <c r="E6326" s="2"/>
    </row>
    <row r="6327" spans="5:5" x14ac:dyDescent="0.25">
      <c r="E6327" s="2"/>
    </row>
    <row r="6328" spans="5:5" x14ac:dyDescent="0.25">
      <c r="E6328" s="2"/>
    </row>
    <row r="6329" spans="5:5" x14ac:dyDescent="0.25">
      <c r="E6329" s="2"/>
    </row>
    <row r="6330" spans="5:5" x14ac:dyDescent="0.25">
      <c r="E6330" s="2"/>
    </row>
    <row r="6331" spans="5:5" x14ac:dyDescent="0.25">
      <c r="E6331" s="2"/>
    </row>
    <row r="6332" spans="5:5" x14ac:dyDescent="0.25">
      <c r="E6332" s="2"/>
    </row>
    <row r="6333" spans="5:5" x14ac:dyDescent="0.25">
      <c r="E6333" s="2"/>
    </row>
    <row r="6334" spans="5:5" x14ac:dyDescent="0.25">
      <c r="E6334" s="2"/>
    </row>
    <row r="6335" spans="5:5" x14ac:dyDescent="0.25">
      <c r="E6335" s="2"/>
    </row>
    <row r="6336" spans="5:5" x14ac:dyDescent="0.25">
      <c r="E6336" s="2"/>
    </row>
    <row r="6337" spans="5:5" x14ac:dyDescent="0.25">
      <c r="E6337" s="2"/>
    </row>
    <row r="6338" spans="5:5" x14ac:dyDescent="0.25">
      <c r="E6338" s="2"/>
    </row>
    <row r="6339" spans="5:5" x14ac:dyDescent="0.25">
      <c r="E6339" s="2"/>
    </row>
    <row r="6340" spans="5:5" x14ac:dyDescent="0.25">
      <c r="E6340" s="2"/>
    </row>
    <row r="6341" spans="5:5" x14ac:dyDescent="0.25">
      <c r="E6341" s="2"/>
    </row>
    <row r="6342" spans="5:5" x14ac:dyDescent="0.25">
      <c r="E6342" s="2"/>
    </row>
    <row r="6343" spans="5:5" x14ac:dyDescent="0.25">
      <c r="E6343" s="2"/>
    </row>
    <row r="6344" spans="5:5" x14ac:dyDescent="0.25">
      <c r="E6344" s="2"/>
    </row>
    <row r="6345" spans="5:5" x14ac:dyDescent="0.25">
      <c r="E6345" s="2"/>
    </row>
    <row r="6346" spans="5:5" x14ac:dyDescent="0.25">
      <c r="E6346" s="2"/>
    </row>
    <row r="6347" spans="5:5" x14ac:dyDescent="0.25">
      <c r="E6347" s="2"/>
    </row>
    <row r="6348" spans="5:5" x14ac:dyDescent="0.25">
      <c r="E6348" s="2"/>
    </row>
    <row r="6349" spans="5:5" x14ac:dyDescent="0.25">
      <c r="E6349" s="2"/>
    </row>
    <row r="6350" spans="5:5" x14ac:dyDescent="0.25">
      <c r="E6350" s="2"/>
    </row>
    <row r="6351" spans="5:5" x14ac:dyDescent="0.25">
      <c r="E6351" s="2"/>
    </row>
    <row r="6352" spans="5:5" x14ac:dyDescent="0.25">
      <c r="E6352" s="2"/>
    </row>
    <row r="6353" spans="5:5" x14ac:dyDescent="0.25">
      <c r="E6353" s="2"/>
    </row>
    <row r="6354" spans="5:5" x14ac:dyDescent="0.25">
      <c r="E6354" s="2"/>
    </row>
    <row r="6355" spans="5:5" x14ac:dyDescent="0.25">
      <c r="E6355" s="2"/>
    </row>
    <row r="6356" spans="5:5" x14ac:dyDescent="0.25">
      <c r="E6356" s="2"/>
    </row>
    <row r="6357" spans="5:5" x14ac:dyDescent="0.25">
      <c r="E6357" s="2"/>
    </row>
    <row r="6358" spans="5:5" x14ac:dyDescent="0.25">
      <c r="E6358" s="2"/>
    </row>
    <row r="6359" spans="5:5" x14ac:dyDescent="0.25">
      <c r="E6359" s="2"/>
    </row>
    <row r="6360" spans="5:5" x14ac:dyDescent="0.25">
      <c r="E6360" s="2"/>
    </row>
    <row r="6361" spans="5:5" x14ac:dyDescent="0.25">
      <c r="E6361" s="2"/>
    </row>
    <row r="6362" spans="5:5" x14ac:dyDescent="0.25">
      <c r="E6362" s="2"/>
    </row>
    <row r="6363" spans="5:5" x14ac:dyDescent="0.25">
      <c r="E6363" s="2"/>
    </row>
    <row r="6364" spans="5:5" x14ac:dyDescent="0.25">
      <c r="E6364" s="2"/>
    </row>
    <row r="6365" spans="5:5" x14ac:dyDescent="0.25">
      <c r="E6365" s="2"/>
    </row>
    <row r="6366" spans="5:5" x14ac:dyDescent="0.25">
      <c r="E6366" s="2"/>
    </row>
    <row r="6367" spans="5:5" x14ac:dyDescent="0.25">
      <c r="E6367" s="2"/>
    </row>
    <row r="6368" spans="5:5" x14ac:dyDescent="0.25">
      <c r="E6368" s="2"/>
    </row>
    <row r="6369" spans="5:5" x14ac:dyDescent="0.25">
      <c r="E6369" s="2"/>
    </row>
    <row r="6370" spans="5:5" x14ac:dyDescent="0.25">
      <c r="E6370" s="2"/>
    </row>
    <row r="6371" spans="5:5" x14ac:dyDescent="0.25">
      <c r="E6371" s="2"/>
    </row>
    <row r="6372" spans="5:5" x14ac:dyDescent="0.25">
      <c r="E6372" s="2"/>
    </row>
    <row r="6373" spans="5:5" x14ac:dyDescent="0.25">
      <c r="E6373" s="2"/>
    </row>
    <row r="6374" spans="5:5" x14ac:dyDescent="0.25">
      <c r="E6374" s="2"/>
    </row>
    <row r="6375" spans="5:5" x14ac:dyDescent="0.25">
      <c r="E6375" s="2"/>
    </row>
    <row r="6376" spans="5:5" x14ac:dyDescent="0.25">
      <c r="E6376" s="2"/>
    </row>
    <row r="6377" spans="5:5" x14ac:dyDescent="0.25">
      <c r="E6377" s="2"/>
    </row>
    <row r="6378" spans="5:5" x14ac:dyDescent="0.25">
      <c r="E6378" s="2"/>
    </row>
    <row r="6379" spans="5:5" x14ac:dyDescent="0.25">
      <c r="E6379" s="2"/>
    </row>
    <row r="6380" spans="5:5" x14ac:dyDescent="0.25">
      <c r="E6380" s="2"/>
    </row>
    <row r="6381" spans="5:5" x14ac:dyDescent="0.25">
      <c r="E6381" s="2"/>
    </row>
    <row r="6382" spans="5:5" x14ac:dyDescent="0.25">
      <c r="E6382" s="2"/>
    </row>
    <row r="6383" spans="5:5" x14ac:dyDescent="0.25">
      <c r="E6383" s="2"/>
    </row>
    <row r="6384" spans="5:5" x14ac:dyDescent="0.25">
      <c r="E6384" s="2"/>
    </row>
    <row r="6385" spans="5:5" x14ac:dyDescent="0.25">
      <c r="E6385" s="2"/>
    </row>
    <row r="6386" spans="5:5" x14ac:dyDescent="0.25">
      <c r="E6386" s="2"/>
    </row>
    <row r="6387" spans="5:5" x14ac:dyDescent="0.25">
      <c r="E6387" s="2"/>
    </row>
    <row r="6388" spans="5:5" x14ac:dyDescent="0.25">
      <c r="E6388" s="2"/>
    </row>
    <row r="6389" spans="5:5" x14ac:dyDescent="0.25">
      <c r="E6389" s="2"/>
    </row>
    <row r="6390" spans="5:5" x14ac:dyDescent="0.25">
      <c r="E6390" s="2"/>
    </row>
    <row r="6391" spans="5:5" x14ac:dyDescent="0.25">
      <c r="E6391" s="2"/>
    </row>
    <row r="6392" spans="5:5" x14ac:dyDescent="0.25">
      <c r="E6392" s="2"/>
    </row>
    <row r="6393" spans="5:5" x14ac:dyDescent="0.25">
      <c r="E6393" s="2"/>
    </row>
    <row r="6394" spans="5:5" x14ac:dyDescent="0.25">
      <c r="E6394" s="2"/>
    </row>
    <row r="6395" spans="5:5" x14ac:dyDescent="0.25">
      <c r="E6395" s="2"/>
    </row>
    <row r="6396" spans="5:5" x14ac:dyDescent="0.25">
      <c r="E6396" s="2"/>
    </row>
    <row r="6397" spans="5:5" x14ac:dyDescent="0.25">
      <c r="E6397" s="2"/>
    </row>
    <row r="6398" spans="5:5" x14ac:dyDescent="0.25">
      <c r="E6398" s="2"/>
    </row>
    <row r="6399" spans="5:5" x14ac:dyDescent="0.25">
      <c r="E6399" s="2"/>
    </row>
    <row r="6400" spans="5:5" x14ac:dyDescent="0.25">
      <c r="E6400" s="2"/>
    </row>
    <row r="6401" spans="5:5" x14ac:dyDescent="0.25">
      <c r="E6401" s="2"/>
    </row>
    <row r="6402" spans="5:5" x14ac:dyDescent="0.25">
      <c r="E6402" s="2"/>
    </row>
    <row r="6403" spans="5:5" x14ac:dyDescent="0.25">
      <c r="E6403" s="2"/>
    </row>
    <row r="6404" spans="5:5" x14ac:dyDescent="0.25">
      <c r="E6404" s="2"/>
    </row>
    <row r="6405" spans="5:5" x14ac:dyDescent="0.25">
      <c r="E6405" s="2"/>
    </row>
    <row r="6406" spans="5:5" x14ac:dyDescent="0.25">
      <c r="E6406" s="2"/>
    </row>
    <row r="6407" spans="5:5" x14ac:dyDescent="0.25">
      <c r="E6407" s="2"/>
    </row>
    <row r="6408" spans="5:5" x14ac:dyDescent="0.25">
      <c r="E6408" s="2"/>
    </row>
    <row r="6409" spans="5:5" x14ac:dyDescent="0.25">
      <c r="E6409" s="2"/>
    </row>
    <row r="6410" spans="5:5" x14ac:dyDescent="0.25">
      <c r="E6410" s="2"/>
    </row>
    <row r="6411" spans="5:5" x14ac:dyDescent="0.25">
      <c r="E6411" s="2"/>
    </row>
    <row r="6412" spans="5:5" x14ac:dyDescent="0.25">
      <c r="E6412" s="2"/>
    </row>
    <row r="6413" spans="5:5" x14ac:dyDescent="0.25">
      <c r="E6413" s="2"/>
    </row>
    <row r="6414" spans="5:5" x14ac:dyDescent="0.25">
      <c r="E6414" s="2"/>
    </row>
    <row r="6415" spans="5:5" x14ac:dyDescent="0.25">
      <c r="E6415" s="2"/>
    </row>
    <row r="6416" spans="5:5" x14ac:dyDescent="0.25">
      <c r="E6416" s="2"/>
    </row>
    <row r="6417" spans="5:5" x14ac:dyDescent="0.25">
      <c r="E6417" s="2"/>
    </row>
    <row r="6418" spans="5:5" x14ac:dyDescent="0.25">
      <c r="E6418" s="2"/>
    </row>
    <row r="6419" spans="5:5" x14ac:dyDescent="0.25">
      <c r="E6419" s="2"/>
    </row>
    <row r="6420" spans="5:5" x14ac:dyDescent="0.25">
      <c r="E6420" s="2"/>
    </row>
    <row r="6421" spans="5:5" x14ac:dyDescent="0.25">
      <c r="E6421" s="2"/>
    </row>
    <row r="6422" spans="5:5" x14ac:dyDescent="0.25">
      <c r="E6422" s="2"/>
    </row>
    <row r="6423" spans="5:5" x14ac:dyDescent="0.25">
      <c r="E6423" s="2"/>
    </row>
    <row r="6424" spans="5:5" x14ac:dyDescent="0.25">
      <c r="E6424" s="2"/>
    </row>
    <row r="6425" spans="5:5" x14ac:dyDescent="0.25">
      <c r="E6425" s="2"/>
    </row>
    <row r="6426" spans="5:5" x14ac:dyDescent="0.25">
      <c r="E6426" s="2"/>
    </row>
    <row r="6427" spans="5:5" x14ac:dyDescent="0.25">
      <c r="E6427" s="2"/>
    </row>
    <row r="6428" spans="5:5" x14ac:dyDescent="0.25">
      <c r="E6428" s="2"/>
    </row>
    <row r="6429" spans="5:5" x14ac:dyDescent="0.25">
      <c r="E6429" s="2"/>
    </row>
    <row r="6430" spans="5:5" x14ac:dyDescent="0.25">
      <c r="E6430" s="2"/>
    </row>
    <row r="6431" spans="5:5" x14ac:dyDescent="0.25">
      <c r="E6431" s="2"/>
    </row>
    <row r="6432" spans="5:5" x14ac:dyDescent="0.25">
      <c r="E6432" s="2"/>
    </row>
    <row r="6433" spans="5:5" x14ac:dyDescent="0.25">
      <c r="E6433" s="2"/>
    </row>
    <row r="6434" spans="5:5" x14ac:dyDescent="0.25">
      <c r="E6434" s="2"/>
    </row>
    <row r="6435" spans="5:5" x14ac:dyDescent="0.25">
      <c r="E6435" s="2"/>
    </row>
    <row r="6436" spans="5:5" x14ac:dyDescent="0.25">
      <c r="E6436" s="2"/>
    </row>
    <row r="6437" spans="5:5" x14ac:dyDescent="0.25">
      <c r="E6437" s="2"/>
    </row>
    <row r="6438" spans="5:5" x14ac:dyDescent="0.25">
      <c r="E6438" s="2"/>
    </row>
    <row r="6439" spans="5:5" x14ac:dyDescent="0.25">
      <c r="E6439" s="2"/>
    </row>
    <row r="6440" spans="5:5" x14ac:dyDescent="0.25">
      <c r="E6440" s="2"/>
    </row>
    <row r="6441" spans="5:5" x14ac:dyDescent="0.25">
      <c r="E6441" s="2"/>
    </row>
    <row r="6442" spans="5:5" x14ac:dyDescent="0.25">
      <c r="E6442" s="2"/>
    </row>
    <row r="6443" spans="5:5" x14ac:dyDescent="0.25">
      <c r="E6443" s="2"/>
    </row>
    <row r="6444" spans="5:5" x14ac:dyDescent="0.25">
      <c r="E6444" s="2"/>
    </row>
    <row r="6445" spans="5:5" x14ac:dyDescent="0.25">
      <c r="E6445" s="2"/>
    </row>
    <row r="6446" spans="5:5" x14ac:dyDescent="0.25">
      <c r="E6446" s="2"/>
    </row>
    <row r="6447" spans="5:5" x14ac:dyDescent="0.25">
      <c r="E6447" s="2"/>
    </row>
    <row r="6448" spans="5:5" x14ac:dyDescent="0.25">
      <c r="E6448" s="2"/>
    </row>
    <row r="6449" spans="5:5" x14ac:dyDescent="0.25">
      <c r="E6449" s="2"/>
    </row>
    <row r="6450" spans="5:5" x14ac:dyDescent="0.25">
      <c r="E6450" s="2"/>
    </row>
    <row r="6451" spans="5:5" x14ac:dyDescent="0.25">
      <c r="E6451" s="2"/>
    </row>
    <row r="6452" spans="5:5" x14ac:dyDescent="0.25">
      <c r="E6452" s="2"/>
    </row>
    <row r="6453" spans="5:5" x14ac:dyDescent="0.25">
      <c r="E6453" s="2"/>
    </row>
    <row r="6454" spans="5:5" x14ac:dyDescent="0.25">
      <c r="E6454" s="2"/>
    </row>
    <row r="6455" spans="5:5" x14ac:dyDescent="0.25">
      <c r="E6455" s="2"/>
    </row>
    <row r="6456" spans="5:5" x14ac:dyDescent="0.25">
      <c r="E6456" s="2"/>
    </row>
    <row r="6457" spans="5:5" x14ac:dyDescent="0.25">
      <c r="E6457" s="2"/>
    </row>
    <row r="6458" spans="5:5" x14ac:dyDescent="0.25">
      <c r="E6458" s="2"/>
    </row>
    <row r="6459" spans="5:5" x14ac:dyDescent="0.25">
      <c r="E6459" s="2"/>
    </row>
    <row r="6460" spans="5:5" x14ac:dyDescent="0.25">
      <c r="E6460" s="2"/>
    </row>
    <row r="6461" spans="5:5" x14ac:dyDescent="0.25">
      <c r="E6461" s="2"/>
    </row>
    <row r="6462" spans="5:5" x14ac:dyDescent="0.25">
      <c r="E6462" s="2"/>
    </row>
    <row r="6463" spans="5:5" x14ac:dyDescent="0.25">
      <c r="E6463" s="2"/>
    </row>
    <row r="6464" spans="5:5" x14ac:dyDescent="0.25">
      <c r="E6464" s="2"/>
    </row>
    <row r="6465" spans="5:5" x14ac:dyDescent="0.25">
      <c r="E6465" s="2"/>
    </row>
    <row r="6466" spans="5:5" x14ac:dyDescent="0.25">
      <c r="E6466" s="2"/>
    </row>
    <row r="6467" spans="5:5" x14ac:dyDescent="0.25">
      <c r="E6467" s="2"/>
    </row>
    <row r="6468" spans="5:5" x14ac:dyDescent="0.25">
      <c r="E6468" s="2"/>
    </row>
    <row r="6469" spans="5:5" x14ac:dyDescent="0.25">
      <c r="E6469" s="2"/>
    </row>
    <row r="6470" spans="5:5" x14ac:dyDescent="0.25">
      <c r="E6470" s="2"/>
    </row>
    <row r="6471" spans="5:5" x14ac:dyDescent="0.25">
      <c r="E6471" s="2"/>
    </row>
    <row r="6472" spans="5:5" x14ac:dyDescent="0.25">
      <c r="E6472" s="2"/>
    </row>
    <row r="6473" spans="5:5" x14ac:dyDescent="0.25">
      <c r="E6473" s="2"/>
    </row>
    <row r="6474" spans="5:5" x14ac:dyDescent="0.25">
      <c r="E6474" s="2"/>
    </row>
    <row r="6475" spans="5:5" x14ac:dyDescent="0.25">
      <c r="E6475" s="2"/>
    </row>
    <row r="6476" spans="5:5" x14ac:dyDescent="0.25">
      <c r="E6476" s="2"/>
    </row>
    <row r="6477" spans="5:5" x14ac:dyDescent="0.25">
      <c r="E6477" s="2"/>
    </row>
    <row r="6478" spans="5:5" x14ac:dyDescent="0.25">
      <c r="E6478" s="2"/>
    </row>
    <row r="6479" spans="5:5" x14ac:dyDescent="0.25">
      <c r="E6479" s="2"/>
    </row>
    <row r="6480" spans="5:5" x14ac:dyDescent="0.25">
      <c r="E6480" s="2"/>
    </row>
    <row r="6481" spans="5:5" x14ac:dyDescent="0.25">
      <c r="E6481" s="2"/>
    </row>
    <row r="6482" spans="5:5" x14ac:dyDescent="0.25">
      <c r="E6482" s="2"/>
    </row>
    <row r="6483" spans="5:5" x14ac:dyDescent="0.25">
      <c r="E6483" s="2"/>
    </row>
    <row r="6484" spans="5:5" x14ac:dyDescent="0.25">
      <c r="E6484" s="2"/>
    </row>
    <row r="6485" spans="5:5" x14ac:dyDescent="0.25">
      <c r="E6485" s="2"/>
    </row>
    <row r="6486" spans="5:5" x14ac:dyDescent="0.25">
      <c r="E6486" s="2"/>
    </row>
    <row r="6487" spans="5:5" x14ac:dyDescent="0.25">
      <c r="E6487" s="2"/>
    </row>
    <row r="6488" spans="5:5" x14ac:dyDescent="0.25">
      <c r="E6488" s="2"/>
    </row>
    <row r="6489" spans="5:5" x14ac:dyDescent="0.25">
      <c r="E6489" s="2"/>
    </row>
    <row r="6490" spans="5:5" x14ac:dyDescent="0.25">
      <c r="E6490" s="2"/>
    </row>
    <row r="6491" spans="5:5" x14ac:dyDescent="0.25">
      <c r="E6491" s="2"/>
    </row>
    <row r="6492" spans="5:5" x14ac:dyDescent="0.25">
      <c r="E6492" s="2"/>
    </row>
    <row r="6493" spans="5:5" x14ac:dyDescent="0.25">
      <c r="E6493" s="2"/>
    </row>
    <row r="6494" spans="5:5" x14ac:dyDescent="0.25">
      <c r="E6494" s="2"/>
    </row>
    <row r="6495" spans="5:5" x14ac:dyDescent="0.25">
      <c r="E6495" s="2"/>
    </row>
    <row r="6496" spans="5:5" x14ac:dyDescent="0.25">
      <c r="E6496" s="2"/>
    </row>
    <row r="6497" spans="5:5" x14ac:dyDescent="0.25">
      <c r="E6497" s="2"/>
    </row>
    <row r="6498" spans="5:5" x14ac:dyDescent="0.25">
      <c r="E6498" s="2"/>
    </row>
    <row r="6499" spans="5:5" x14ac:dyDescent="0.25">
      <c r="E6499" s="2"/>
    </row>
    <row r="6500" spans="5:5" x14ac:dyDescent="0.25">
      <c r="E6500" s="2"/>
    </row>
    <row r="6501" spans="5:5" x14ac:dyDescent="0.25">
      <c r="E6501" s="2"/>
    </row>
    <row r="6502" spans="5:5" x14ac:dyDescent="0.25">
      <c r="E6502" s="2"/>
    </row>
    <row r="6503" spans="5:5" x14ac:dyDescent="0.25">
      <c r="E6503" s="2"/>
    </row>
    <row r="6504" spans="5:5" x14ac:dyDescent="0.25">
      <c r="E6504" s="2"/>
    </row>
    <row r="6505" spans="5:5" x14ac:dyDescent="0.25">
      <c r="E6505" s="2"/>
    </row>
    <row r="6506" spans="5:5" x14ac:dyDescent="0.25">
      <c r="E6506" s="2"/>
    </row>
    <row r="6507" spans="5:5" x14ac:dyDescent="0.25">
      <c r="E6507" s="2"/>
    </row>
    <row r="6508" spans="5:5" x14ac:dyDescent="0.25">
      <c r="E6508" s="2"/>
    </row>
    <row r="6509" spans="5:5" x14ac:dyDescent="0.25">
      <c r="E6509" s="2"/>
    </row>
    <row r="6510" spans="5:5" x14ac:dyDescent="0.25">
      <c r="E6510" s="2"/>
    </row>
    <row r="6511" spans="5:5" x14ac:dyDescent="0.25">
      <c r="E6511" s="2"/>
    </row>
    <row r="6512" spans="5:5" x14ac:dyDescent="0.25">
      <c r="E6512" s="2"/>
    </row>
    <row r="6513" spans="5:5" x14ac:dyDescent="0.25">
      <c r="E6513" s="2"/>
    </row>
    <row r="6514" spans="5:5" x14ac:dyDescent="0.25">
      <c r="E6514" s="2"/>
    </row>
    <row r="6515" spans="5:5" x14ac:dyDescent="0.25">
      <c r="E6515" s="2"/>
    </row>
    <row r="6516" spans="5:5" x14ac:dyDescent="0.25">
      <c r="E6516" s="2"/>
    </row>
    <row r="6517" spans="5:5" x14ac:dyDescent="0.25">
      <c r="E6517" s="2"/>
    </row>
    <row r="6518" spans="5:5" x14ac:dyDescent="0.25">
      <c r="E6518" s="2"/>
    </row>
    <row r="6519" spans="5:5" x14ac:dyDescent="0.25">
      <c r="E6519" s="2"/>
    </row>
    <row r="6520" spans="5:5" x14ac:dyDescent="0.25">
      <c r="E6520" s="2"/>
    </row>
    <row r="6521" spans="5:5" x14ac:dyDescent="0.25">
      <c r="E6521" s="2"/>
    </row>
    <row r="6522" spans="5:5" x14ac:dyDescent="0.25">
      <c r="E6522" s="2"/>
    </row>
    <row r="6523" spans="5:5" x14ac:dyDescent="0.25">
      <c r="E6523" s="2"/>
    </row>
    <row r="6524" spans="5:5" x14ac:dyDescent="0.25">
      <c r="E6524" s="2"/>
    </row>
    <row r="6525" spans="5:5" x14ac:dyDescent="0.25">
      <c r="E6525" s="2"/>
    </row>
    <row r="6526" spans="5:5" x14ac:dyDescent="0.25">
      <c r="E6526" s="2"/>
    </row>
    <row r="6527" spans="5:5" x14ac:dyDescent="0.25">
      <c r="E6527" s="2"/>
    </row>
    <row r="6528" spans="5:5" x14ac:dyDescent="0.25">
      <c r="E6528" s="2"/>
    </row>
    <row r="6529" spans="5:5" x14ac:dyDescent="0.25">
      <c r="E6529" s="2"/>
    </row>
    <row r="6530" spans="5:5" x14ac:dyDescent="0.25">
      <c r="E6530" s="2"/>
    </row>
    <row r="6531" spans="5:5" x14ac:dyDescent="0.25">
      <c r="E6531" s="2"/>
    </row>
    <row r="6532" spans="5:5" x14ac:dyDescent="0.25">
      <c r="E6532" s="2"/>
    </row>
    <row r="6533" spans="5:5" x14ac:dyDescent="0.25">
      <c r="E6533" s="2"/>
    </row>
    <row r="6534" spans="5:5" x14ac:dyDescent="0.25">
      <c r="E6534" s="2"/>
    </row>
    <row r="6535" spans="5:5" x14ac:dyDescent="0.25">
      <c r="E6535" s="2"/>
    </row>
    <row r="6536" spans="5:5" x14ac:dyDescent="0.25">
      <c r="E6536" s="2"/>
    </row>
    <row r="6537" spans="5:5" x14ac:dyDescent="0.25">
      <c r="E6537" s="2"/>
    </row>
    <row r="6538" spans="5:5" x14ac:dyDescent="0.25">
      <c r="E6538" s="2"/>
    </row>
    <row r="6539" spans="5:5" x14ac:dyDescent="0.25">
      <c r="E6539" s="2"/>
    </row>
    <row r="6540" spans="5:5" x14ac:dyDescent="0.25">
      <c r="E6540" s="2"/>
    </row>
    <row r="6541" spans="5:5" x14ac:dyDescent="0.25">
      <c r="E6541" s="2"/>
    </row>
    <row r="6542" spans="5:5" x14ac:dyDescent="0.25">
      <c r="E6542" s="2"/>
    </row>
    <row r="6543" spans="5:5" x14ac:dyDescent="0.25">
      <c r="E6543" s="2"/>
    </row>
    <row r="6544" spans="5:5" x14ac:dyDescent="0.25">
      <c r="E6544" s="2"/>
    </row>
    <row r="6545" spans="5:5" x14ac:dyDescent="0.25">
      <c r="E6545" s="2"/>
    </row>
    <row r="6546" spans="5:5" x14ac:dyDescent="0.25">
      <c r="E6546" s="2"/>
    </row>
    <row r="6547" spans="5:5" x14ac:dyDescent="0.25">
      <c r="E6547" s="2"/>
    </row>
    <row r="6548" spans="5:5" x14ac:dyDescent="0.25">
      <c r="E6548" s="2"/>
    </row>
    <row r="6549" spans="5:5" x14ac:dyDescent="0.25">
      <c r="E6549" s="2"/>
    </row>
    <row r="6550" spans="5:5" x14ac:dyDescent="0.25">
      <c r="E6550" s="2"/>
    </row>
    <row r="6551" spans="5:5" x14ac:dyDescent="0.25">
      <c r="E6551" s="2"/>
    </row>
    <row r="6552" spans="5:5" x14ac:dyDescent="0.25">
      <c r="E6552" s="2"/>
    </row>
    <row r="6553" spans="5:5" x14ac:dyDescent="0.25">
      <c r="E6553" s="2"/>
    </row>
    <row r="6554" spans="5:5" x14ac:dyDescent="0.25">
      <c r="E6554" s="2"/>
    </row>
    <row r="6555" spans="5:5" x14ac:dyDescent="0.25">
      <c r="E6555" s="2"/>
    </row>
    <row r="6556" spans="5:5" x14ac:dyDescent="0.25">
      <c r="E6556" s="2"/>
    </row>
    <row r="6557" spans="5:5" x14ac:dyDescent="0.25">
      <c r="E6557" s="2"/>
    </row>
    <row r="6558" spans="5:5" x14ac:dyDescent="0.25">
      <c r="E6558" s="2"/>
    </row>
    <row r="6559" spans="5:5" x14ac:dyDescent="0.25">
      <c r="E6559" s="2"/>
    </row>
    <row r="6560" spans="5:5" x14ac:dyDescent="0.25">
      <c r="E6560" s="2"/>
    </row>
    <row r="6561" spans="5:5" x14ac:dyDescent="0.25">
      <c r="E6561" s="2"/>
    </row>
    <row r="6562" spans="5:5" x14ac:dyDescent="0.25">
      <c r="E6562" s="2"/>
    </row>
    <row r="6563" spans="5:5" x14ac:dyDescent="0.25">
      <c r="E6563" s="2"/>
    </row>
    <row r="6564" spans="5:5" x14ac:dyDescent="0.25">
      <c r="E6564" s="2"/>
    </row>
    <row r="6565" spans="5:5" x14ac:dyDescent="0.25">
      <c r="E6565" s="2"/>
    </row>
    <row r="6566" spans="5:5" x14ac:dyDescent="0.25">
      <c r="E6566" s="2"/>
    </row>
    <row r="6567" spans="5:5" x14ac:dyDescent="0.25">
      <c r="E6567" s="2"/>
    </row>
    <row r="6568" spans="5:5" x14ac:dyDescent="0.25">
      <c r="E6568" s="2"/>
    </row>
    <row r="6569" spans="5:5" x14ac:dyDescent="0.25">
      <c r="E6569" s="2"/>
    </row>
    <row r="6570" spans="5:5" x14ac:dyDescent="0.25">
      <c r="E6570" s="2"/>
    </row>
    <row r="6571" spans="5:5" x14ac:dyDescent="0.25">
      <c r="E6571" s="2"/>
    </row>
    <row r="6572" spans="5:5" x14ac:dyDescent="0.25">
      <c r="E6572" s="2"/>
    </row>
    <row r="6573" spans="5:5" x14ac:dyDescent="0.25">
      <c r="E6573" s="2"/>
    </row>
    <row r="6574" spans="5:5" x14ac:dyDescent="0.25">
      <c r="E6574" s="2"/>
    </row>
    <row r="6575" spans="5:5" x14ac:dyDescent="0.25">
      <c r="E6575" s="2"/>
    </row>
    <row r="6576" spans="5:5" x14ac:dyDescent="0.25">
      <c r="E6576" s="2"/>
    </row>
    <row r="6577" spans="5:5" x14ac:dyDescent="0.25">
      <c r="E6577" s="2"/>
    </row>
    <row r="6578" spans="5:5" x14ac:dyDescent="0.25">
      <c r="E6578" s="2"/>
    </row>
    <row r="6579" spans="5:5" x14ac:dyDescent="0.25">
      <c r="E6579" s="2"/>
    </row>
    <row r="6580" spans="5:5" x14ac:dyDescent="0.25">
      <c r="E6580" s="2"/>
    </row>
    <row r="6581" spans="5:5" x14ac:dyDescent="0.25">
      <c r="E6581" s="2"/>
    </row>
    <row r="6582" spans="5:5" x14ac:dyDescent="0.25">
      <c r="E6582" s="2"/>
    </row>
    <row r="6583" spans="5:5" x14ac:dyDescent="0.25">
      <c r="E6583" s="2"/>
    </row>
    <row r="6584" spans="5:5" x14ac:dyDescent="0.25">
      <c r="E6584" s="2"/>
    </row>
    <row r="6585" spans="5:5" x14ac:dyDescent="0.25">
      <c r="E6585" s="2"/>
    </row>
    <row r="6586" spans="5:5" x14ac:dyDescent="0.25">
      <c r="E6586" s="2"/>
    </row>
    <row r="6587" spans="5:5" x14ac:dyDescent="0.25">
      <c r="E6587" s="2"/>
    </row>
    <row r="6588" spans="5:5" x14ac:dyDescent="0.25">
      <c r="E6588" s="2"/>
    </row>
    <row r="6589" spans="5:5" x14ac:dyDescent="0.25">
      <c r="E6589" s="2"/>
    </row>
    <row r="6590" spans="5:5" x14ac:dyDescent="0.25">
      <c r="E6590" s="2"/>
    </row>
    <row r="6591" spans="5:5" x14ac:dyDescent="0.25">
      <c r="E6591" s="2"/>
    </row>
    <row r="6592" spans="5:5" x14ac:dyDescent="0.25">
      <c r="E6592" s="2"/>
    </row>
    <row r="6593" spans="5:5" x14ac:dyDescent="0.25">
      <c r="E6593" s="2"/>
    </row>
    <row r="6594" spans="5:5" x14ac:dyDescent="0.25">
      <c r="E6594" s="2"/>
    </row>
    <row r="6595" spans="5:5" x14ac:dyDescent="0.25">
      <c r="E6595" s="2"/>
    </row>
    <row r="6596" spans="5:5" x14ac:dyDescent="0.25">
      <c r="E6596" s="2"/>
    </row>
    <row r="6597" spans="5:5" x14ac:dyDescent="0.25">
      <c r="E6597" s="2"/>
    </row>
    <row r="6598" spans="5:5" x14ac:dyDescent="0.25">
      <c r="E6598" s="2"/>
    </row>
    <row r="6599" spans="5:5" x14ac:dyDescent="0.25">
      <c r="E6599" s="2"/>
    </row>
    <row r="6600" spans="5:5" x14ac:dyDescent="0.25">
      <c r="E6600" s="2"/>
    </row>
    <row r="6601" spans="5:5" x14ac:dyDescent="0.25">
      <c r="E6601" s="2"/>
    </row>
    <row r="6602" spans="5:5" x14ac:dyDescent="0.25">
      <c r="E6602" s="2"/>
    </row>
    <row r="6603" spans="5:5" x14ac:dyDescent="0.25">
      <c r="E6603" s="2"/>
    </row>
    <row r="6604" spans="5:5" x14ac:dyDescent="0.25">
      <c r="E6604" s="2"/>
    </row>
    <row r="6605" spans="5:5" x14ac:dyDescent="0.25">
      <c r="E6605" s="2"/>
    </row>
    <row r="6606" spans="5:5" x14ac:dyDescent="0.25">
      <c r="E6606" s="2"/>
    </row>
    <row r="6607" spans="5:5" x14ac:dyDescent="0.25">
      <c r="E6607" s="2"/>
    </row>
    <row r="6608" spans="5:5" x14ac:dyDescent="0.25">
      <c r="E6608" s="2"/>
    </row>
    <row r="6609" spans="5:5" x14ac:dyDescent="0.25">
      <c r="E6609" s="2"/>
    </row>
    <row r="6610" spans="5:5" x14ac:dyDescent="0.25">
      <c r="E6610" s="2"/>
    </row>
    <row r="6611" spans="5:5" x14ac:dyDescent="0.25">
      <c r="E6611" s="2"/>
    </row>
    <row r="6612" spans="5:5" x14ac:dyDescent="0.25">
      <c r="E6612" s="2"/>
    </row>
    <row r="6613" spans="5:5" x14ac:dyDescent="0.25">
      <c r="E6613" s="2"/>
    </row>
    <row r="6614" spans="5:5" x14ac:dyDescent="0.25">
      <c r="E6614" s="2"/>
    </row>
    <row r="6615" spans="5:5" x14ac:dyDescent="0.25">
      <c r="E6615" s="2"/>
    </row>
    <row r="6616" spans="5:5" x14ac:dyDescent="0.25">
      <c r="E6616" s="2"/>
    </row>
    <row r="6617" spans="5:5" x14ac:dyDescent="0.25">
      <c r="E6617" s="2"/>
    </row>
    <row r="6618" spans="5:5" x14ac:dyDescent="0.25">
      <c r="E6618" s="2"/>
    </row>
    <row r="6619" spans="5:5" x14ac:dyDescent="0.25">
      <c r="E6619" s="2"/>
    </row>
    <row r="6620" spans="5:5" x14ac:dyDescent="0.25">
      <c r="E6620" s="2"/>
    </row>
    <row r="6621" spans="5:5" x14ac:dyDescent="0.25">
      <c r="E6621" s="2"/>
    </row>
    <row r="6622" spans="5:5" x14ac:dyDescent="0.25">
      <c r="E6622" s="2"/>
    </row>
    <row r="6623" spans="5:5" x14ac:dyDescent="0.25">
      <c r="E6623" s="2"/>
    </row>
    <row r="6624" spans="5:5" x14ac:dyDescent="0.25">
      <c r="E6624" s="2"/>
    </row>
    <row r="6625" spans="5:5" x14ac:dyDescent="0.25">
      <c r="E6625" s="2"/>
    </row>
    <row r="6626" spans="5:5" x14ac:dyDescent="0.25">
      <c r="E6626" s="2"/>
    </row>
    <row r="6627" spans="5:5" x14ac:dyDescent="0.25">
      <c r="E6627" s="2"/>
    </row>
    <row r="6628" spans="5:5" x14ac:dyDescent="0.25">
      <c r="E6628" s="2"/>
    </row>
    <row r="6629" spans="5:5" x14ac:dyDescent="0.25">
      <c r="E6629" s="2"/>
    </row>
    <row r="6630" spans="5:5" x14ac:dyDescent="0.25">
      <c r="E6630" s="2"/>
    </row>
    <row r="6631" spans="5:5" x14ac:dyDescent="0.25">
      <c r="E6631" s="2"/>
    </row>
    <row r="6632" spans="5:5" x14ac:dyDescent="0.25">
      <c r="E6632" s="2"/>
    </row>
    <row r="6633" spans="5:5" x14ac:dyDescent="0.25">
      <c r="E6633" s="2"/>
    </row>
    <row r="6634" spans="5:5" x14ac:dyDescent="0.25">
      <c r="E6634" s="2"/>
    </row>
    <row r="6635" spans="5:5" x14ac:dyDescent="0.25">
      <c r="E6635" s="2"/>
    </row>
    <row r="6636" spans="5:5" x14ac:dyDescent="0.25">
      <c r="E6636" s="2"/>
    </row>
    <row r="6637" spans="5:5" x14ac:dyDescent="0.25">
      <c r="E6637" s="2"/>
    </row>
    <row r="6638" spans="5:5" x14ac:dyDescent="0.25">
      <c r="E6638" s="2"/>
    </row>
    <row r="6639" spans="5:5" x14ac:dyDescent="0.25">
      <c r="E6639" s="2"/>
    </row>
    <row r="6640" spans="5:5" x14ac:dyDescent="0.25">
      <c r="E6640" s="2"/>
    </row>
    <row r="6641" spans="5:5" x14ac:dyDescent="0.25">
      <c r="E6641" s="2"/>
    </row>
    <row r="6642" spans="5:5" x14ac:dyDescent="0.25">
      <c r="E6642" s="2"/>
    </row>
    <row r="6643" spans="5:5" x14ac:dyDescent="0.25">
      <c r="E6643" s="2"/>
    </row>
    <row r="6644" spans="5:5" x14ac:dyDescent="0.25">
      <c r="E6644" s="2"/>
    </row>
    <row r="6645" spans="5:5" x14ac:dyDescent="0.25">
      <c r="E6645" s="2"/>
    </row>
    <row r="6646" spans="5:5" x14ac:dyDescent="0.25">
      <c r="E6646" s="2"/>
    </row>
    <row r="6647" spans="5:5" x14ac:dyDescent="0.25">
      <c r="E6647" s="2"/>
    </row>
    <row r="6648" spans="5:5" x14ac:dyDescent="0.25">
      <c r="E6648" s="2"/>
    </row>
    <row r="6649" spans="5:5" x14ac:dyDescent="0.25">
      <c r="E6649" s="2"/>
    </row>
    <row r="6650" spans="5:5" x14ac:dyDescent="0.25">
      <c r="E6650" s="2"/>
    </row>
    <row r="6651" spans="5:5" x14ac:dyDescent="0.25">
      <c r="E6651" s="2"/>
    </row>
    <row r="6652" spans="5:5" x14ac:dyDescent="0.25">
      <c r="E6652" s="2"/>
    </row>
    <row r="6653" spans="5:5" x14ac:dyDescent="0.25">
      <c r="E6653" s="2"/>
    </row>
    <row r="6654" spans="5:5" x14ac:dyDescent="0.25">
      <c r="E6654" s="2"/>
    </row>
    <row r="6655" spans="5:5" x14ac:dyDescent="0.25">
      <c r="E6655" s="2"/>
    </row>
    <row r="6656" spans="5:5" x14ac:dyDescent="0.25">
      <c r="E6656" s="2"/>
    </row>
    <row r="6657" spans="5:5" x14ac:dyDescent="0.25">
      <c r="E6657" s="2"/>
    </row>
    <row r="6658" spans="5:5" x14ac:dyDescent="0.25">
      <c r="E6658" s="2"/>
    </row>
    <row r="6659" spans="5:5" x14ac:dyDescent="0.25">
      <c r="E6659" s="2"/>
    </row>
    <row r="6660" spans="5:5" x14ac:dyDescent="0.25">
      <c r="E6660" s="2"/>
    </row>
    <row r="6661" spans="5:5" x14ac:dyDescent="0.25">
      <c r="E6661" s="2"/>
    </row>
    <row r="6662" spans="5:5" x14ac:dyDescent="0.25">
      <c r="E6662" s="2"/>
    </row>
    <row r="6663" spans="5:5" x14ac:dyDescent="0.25">
      <c r="E6663" s="2"/>
    </row>
    <row r="6664" spans="5:5" x14ac:dyDescent="0.25">
      <c r="E6664" s="2"/>
    </row>
    <row r="6665" spans="5:5" x14ac:dyDescent="0.25">
      <c r="E6665" s="2"/>
    </row>
    <row r="6666" spans="5:5" x14ac:dyDescent="0.25">
      <c r="E6666" s="2"/>
    </row>
    <row r="6667" spans="5:5" x14ac:dyDescent="0.25">
      <c r="E6667" s="2"/>
    </row>
    <row r="6668" spans="5:5" x14ac:dyDescent="0.25">
      <c r="E6668" s="2"/>
    </row>
    <row r="6669" spans="5:5" x14ac:dyDescent="0.25">
      <c r="E6669" s="2"/>
    </row>
    <row r="6670" spans="5:5" x14ac:dyDescent="0.25">
      <c r="E6670" s="2"/>
    </row>
    <row r="6671" spans="5:5" x14ac:dyDescent="0.25">
      <c r="E6671" s="2"/>
    </row>
    <row r="6672" spans="5:5" x14ac:dyDescent="0.25">
      <c r="E6672" s="2"/>
    </row>
    <row r="6673" spans="5:5" x14ac:dyDescent="0.25">
      <c r="E6673" s="2"/>
    </row>
    <row r="6674" spans="5:5" x14ac:dyDescent="0.25">
      <c r="E6674" s="2"/>
    </row>
    <row r="6675" spans="5:5" x14ac:dyDescent="0.25">
      <c r="E6675" s="2"/>
    </row>
    <row r="6676" spans="5:5" x14ac:dyDescent="0.25">
      <c r="E6676" s="2"/>
    </row>
    <row r="6677" spans="5:5" x14ac:dyDescent="0.25">
      <c r="E6677" s="2"/>
    </row>
    <row r="6678" spans="5:5" x14ac:dyDescent="0.25">
      <c r="E6678" s="2"/>
    </row>
    <row r="6679" spans="5:5" x14ac:dyDescent="0.25">
      <c r="E6679" s="2"/>
    </row>
    <row r="6680" spans="5:5" x14ac:dyDescent="0.25">
      <c r="E6680" s="2"/>
    </row>
    <row r="6681" spans="5:5" x14ac:dyDescent="0.25">
      <c r="E6681" s="2"/>
    </row>
    <row r="6682" spans="5:5" x14ac:dyDescent="0.25">
      <c r="E6682" s="2"/>
    </row>
    <row r="6683" spans="5:5" x14ac:dyDescent="0.25">
      <c r="E6683" s="2"/>
    </row>
    <row r="6684" spans="5:5" x14ac:dyDescent="0.25">
      <c r="E6684" s="2"/>
    </row>
    <row r="6685" spans="5:5" x14ac:dyDescent="0.25">
      <c r="E6685" s="2"/>
    </row>
    <row r="6686" spans="5:5" x14ac:dyDescent="0.25">
      <c r="E6686" s="2"/>
    </row>
    <row r="6687" spans="5:5" x14ac:dyDescent="0.25">
      <c r="E6687" s="2"/>
    </row>
    <row r="6688" spans="5:5" x14ac:dyDescent="0.25">
      <c r="E6688" s="2"/>
    </row>
    <row r="6689" spans="5:5" x14ac:dyDescent="0.25">
      <c r="E6689" s="2"/>
    </row>
    <row r="6690" spans="5:5" x14ac:dyDescent="0.25">
      <c r="E6690" s="2"/>
    </row>
    <row r="6691" spans="5:5" x14ac:dyDescent="0.25">
      <c r="E6691" s="2"/>
    </row>
    <row r="6692" spans="5:5" x14ac:dyDescent="0.25">
      <c r="E6692" s="2"/>
    </row>
    <row r="6693" spans="5:5" x14ac:dyDescent="0.25">
      <c r="E6693" s="2"/>
    </row>
    <row r="6694" spans="5:5" x14ac:dyDescent="0.25">
      <c r="E6694" s="2"/>
    </row>
    <row r="6695" spans="5:5" x14ac:dyDescent="0.25">
      <c r="E6695" s="2"/>
    </row>
    <row r="6696" spans="5:5" x14ac:dyDescent="0.25">
      <c r="E6696" s="2"/>
    </row>
    <row r="6697" spans="5:5" x14ac:dyDescent="0.25">
      <c r="E6697" s="2"/>
    </row>
    <row r="6698" spans="5:5" x14ac:dyDescent="0.25">
      <c r="E6698" s="2"/>
    </row>
    <row r="6699" spans="5:5" x14ac:dyDescent="0.25">
      <c r="E6699" s="2"/>
    </row>
    <row r="6700" spans="5:5" x14ac:dyDescent="0.25">
      <c r="E6700" s="2"/>
    </row>
    <row r="6701" spans="5:5" x14ac:dyDescent="0.25">
      <c r="E6701" s="2"/>
    </row>
    <row r="6702" spans="5:5" x14ac:dyDescent="0.25">
      <c r="E6702" s="2"/>
    </row>
    <row r="6703" spans="5:5" x14ac:dyDescent="0.25">
      <c r="E6703" s="2"/>
    </row>
    <row r="6704" spans="5:5" x14ac:dyDescent="0.25">
      <c r="E6704" s="2"/>
    </row>
    <row r="6705" spans="5:5" x14ac:dyDescent="0.25">
      <c r="E6705" s="2"/>
    </row>
    <row r="6706" spans="5:5" x14ac:dyDescent="0.25">
      <c r="E6706" s="2"/>
    </row>
    <row r="6707" spans="5:5" x14ac:dyDescent="0.25">
      <c r="E6707" s="2"/>
    </row>
    <row r="6708" spans="5:5" x14ac:dyDescent="0.25">
      <c r="E6708" s="2"/>
    </row>
    <row r="6709" spans="5:5" x14ac:dyDescent="0.25">
      <c r="E6709" s="2"/>
    </row>
    <row r="6710" spans="5:5" x14ac:dyDescent="0.25">
      <c r="E6710" s="2"/>
    </row>
    <row r="6711" spans="5:5" x14ac:dyDescent="0.25">
      <c r="E6711" s="2"/>
    </row>
    <row r="6712" spans="5:5" x14ac:dyDescent="0.25">
      <c r="E6712" s="2"/>
    </row>
    <row r="6713" spans="5:5" x14ac:dyDescent="0.25">
      <c r="E6713" s="2"/>
    </row>
    <row r="6714" spans="5:5" x14ac:dyDescent="0.25">
      <c r="E6714" s="2"/>
    </row>
    <row r="6715" spans="5:5" x14ac:dyDescent="0.25">
      <c r="E6715" s="2"/>
    </row>
    <row r="6716" spans="5:5" x14ac:dyDescent="0.25">
      <c r="E6716" s="2"/>
    </row>
    <row r="6717" spans="5:5" x14ac:dyDescent="0.25">
      <c r="E6717" s="2"/>
    </row>
    <row r="6718" spans="5:5" x14ac:dyDescent="0.25">
      <c r="E6718" s="2"/>
    </row>
    <row r="6719" spans="5:5" x14ac:dyDescent="0.25">
      <c r="E6719" s="2"/>
    </row>
    <row r="6720" spans="5:5" x14ac:dyDescent="0.25">
      <c r="E6720" s="2"/>
    </row>
    <row r="6721" spans="5:5" x14ac:dyDescent="0.25">
      <c r="E6721" s="2"/>
    </row>
    <row r="6722" spans="5:5" x14ac:dyDescent="0.25">
      <c r="E6722" s="2"/>
    </row>
    <row r="6723" spans="5:5" x14ac:dyDescent="0.25">
      <c r="E6723" s="2"/>
    </row>
    <row r="6724" spans="5:5" x14ac:dyDescent="0.25">
      <c r="E6724" s="2"/>
    </row>
    <row r="6725" spans="5:5" x14ac:dyDescent="0.25">
      <c r="E6725" s="2"/>
    </row>
    <row r="6726" spans="5:5" x14ac:dyDescent="0.25">
      <c r="E6726" s="2"/>
    </row>
    <row r="6727" spans="5:5" x14ac:dyDescent="0.25">
      <c r="E6727" s="2"/>
    </row>
    <row r="6728" spans="5:5" x14ac:dyDescent="0.25">
      <c r="E6728" s="2"/>
    </row>
    <row r="6729" spans="5:5" x14ac:dyDescent="0.25">
      <c r="E6729" s="2"/>
    </row>
    <row r="6730" spans="5:5" x14ac:dyDescent="0.25">
      <c r="E6730" s="2"/>
    </row>
    <row r="6731" spans="5:5" x14ac:dyDescent="0.25">
      <c r="E6731" s="2"/>
    </row>
    <row r="6732" spans="5:5" x14ac:dyDescent="0.25">
      <c r="E6732" s="2"/>
    </row>
    <row r="6733" spans="5:5" x14ac:dyDescent="0.25">
      <c r="E6733" s="2"/>
    </row>
    <row r="6734" spans="5:5" x14ac:dyDescent="0.25">
      <c r="E6734" s="2"/>
    </row>
    <row r="6735" spans="5:5" x14ac:dyDescent="0.25">
      <c r="E6735" s="2"/>
    </row>
    <row r="6736" spans="5:5" x14ac:dyDescent="0.25">
      <c r="E6736" s="2"/>
    </row>
    <row r="6737" spans="5:5" x14ac:dyDescent="0.25">
      <c r="E6737" s="2"/>
    </row>
    <row r="6738" spans="5:5" x14ac:dyDescent="0.25">
      <c r="E6738" s="2"/>
    </row>
    <row r="6739" spans="5:5" x14ac:dyDescent="0.25">
      <c r="E6739" s="2"/>
    </row>
    <row r="6740" spans="5:5" x14ac:dyDescent="0.25">
      <c r="E6740" s="2"/>
    </row>
    <row r="6741" spans="5:5" x14ac:dyDescent="0.25">
      <c r="E6741" s="2"/>
    </row>
    <row r="6742" spans="5:5" x14ac:dyDescent="0.25">
      <c r="E6742" s="2"/>
    </row>
    <row r="6743" spans="5:5" x14ac:dyDescent="0.25">
      <c r="E6743" s="2"/>
    </row>
    <row r="6744" spans="5:5" x14ac:dyDescent="0.25">
      <c r="E6744" s="2"/>
    </row>
    <row r="6745" spans="5:5" x14ac:dyDescent="0.25">
      <c r="E6745" s="2"/>
    </row>
    <row r="6746" spans="5:5" x14ac:dyDescent="0.25">
      <c r="E6746" s="2"/>
    </row>
    <row r="6747" spans="5:5" x14ac:dyDescent="0.25">
      <c r="E6747" s="2"/>
    </row>
    <row r="6748" spans="5:5" x14ac:dyDescent="0.25">
      <c r="E6748" s="2"/>
    </row>
    <row r="6749" spans="5:5" x14ac:dyDescent="0.25">
      <c r="E6749" s="2"/>
    </row>
    <row r="6750" spans="5:5" x14ac:dyDescent="0.25">
      <c r="E6750" s="2"/>
    </row>
    <row r="6751" spans="5:5" x14ac:dyDescent="0.25">
      <c r="E6751" s="2"/>
    </row>
    <row r="6752" spans="5:5" x14ac:dyDescent="0.25">
      <c r="E6752" s="2"/>
    </row>
    <row r="6753" spans="5:5" x14ac:dyDescent="0.25">
      <c r="E6753" s="2"/>
    </row>
    <row r="6754" spans="5:5" x14ac:dyDescent="0.25">
      <c r="E6754" s="2"/>
    </row>
    <row r="6755" spans="5:5" x14ac:dyDescent="0.25">
      <c r="E6755" s="2"/>
    </row>
    <row r="6756" spans="5:5" x14ac:dyDescent="0.25">
      <c r="E6756" s="2"/>
    </row>
    <row r="6757" spans="5:5" x14ac:dyDescent="0.25">
      <c r="E6757" s="2"/>
    </row>
    <row r="6758" spans="5:5" x14ac:dyDescent="0.25">
      <c r="E6758" s="2"/>
    </row>
    <row r="6759" spans="5:5" x14ac:dyDescent="0.25">
      <c r="E6759" s="2"/>
    </row>
    <row r="6760" spans="5:5" x14ac:dyDescent="0.25">
      <c r="E6760" s="2"/>
    </row>
    <row r="6761" spans="5:5" x14ac:dyDescent="0.25">
      <c r="E6761" s="2"/>
    </row>
    <row r="6762" spans="5:5" x14ac:dyDescent="0.25">
      <c r="E6762" s="2"/>
    </row>
    <row r="6763" spans="5:5" x14ac:dyDescent="0.25">
      <c r="E6763" s="2"/>
    </row>
    <row r="6764" spans="5:5" x14ac:dyDescent="0.25">
      <c r="E6764" s="2"/>
    </row>
    <row r="6765" spans="5:5" x14ac:dyDescent="0.25">
      <c r="E6765" s="2"/>
    </row>
    <row r="6766" spans="5:5" x14ac:dyDescent="0.25">
      <c r="E6766" s="2"/>
    </row>
    <row r="6767" spans="5:5" x14ac:dyDescent="0.25">
      <c r="E6767" s="2"/>
    </row>
    <row r="6768" spans="5:5" x14ac:dyDescent="0.25">
      <c r="E6768" s="2"/>
    </row>
    <row r="6769" spans="5:5" x14ac:dyDescent="0.25">
      <c r="E6769" s="2"/>
    </row>
    <row r="6770" spans="5:5" x14ac:dyDescent="0.25">
      <c r="E6770" s="2"/>
    </row>
    <row r="6771" spans="5:5" x14ac:dyDescent="0.25">
      <c r="E6771" s="2"/>
    </row>
    <row r="6772" spans="5:5" x14ac:dyDescent="0.25">
      <c r="E6772" s="2"/>
    </row>
    <row r="6773" spans="5:5" x14ac:dyDescent="0.25">
      <c r="E6773" s="2"/>
    </row>
    <row r="6774" spans="5:5" x14ac:dyDescent="0.25">
      <c r="E6774" s="2"/>
    </row>
    <row r="6775" spans="5:5" x14ac:dyDescent="0.25">
      <c r="E6775" s="2"/>
    </row>
    <row r="6776" spans="5:5" x14ac:dyDescent="0.25">
      <c r="E6776" s="2"/>
    </row>
    <row r="6777" spans="5:5" x14ac:dyDescent="0.25">
      <c r="E6777" s="2"/>
    </row>
    <row r="6778" spans="5:5" x14ac:dyDescent="0.25">
      <c r="E6778" s="2"/>
    </row>
    <row r="6779" spans="5:5" x14ac:dyDescent="0.25">
      <c r="E6779" s="2"/>
    </row>
    <row r="6780" spans="5:5" x14ac:dyDescent="0.25">
      <c r="E6780" s="2"/>
    </row>
    <row r="6781" spans="5:5" x14ac:dyDescent="0.25">
      <c r="E6781" s="2"/>
    </row>
    <row r="6782" spans="5:5" x14ac:dyDescent="0.25">
      <c r="E6782" s="2"/>
    </row>
    <row r="6783" spans="5:5" x14ac:dyDescent="0.25">
      <c r="E6783" s="2"/>
    </row>
    <row r="6784" spans="5:5" x14ac:dyDescent="0.25">
      <c r="E6784" s="2"/>
    </row>
    <row r="6785" spans="5:5" x14ac:dyDescent="0.25">
      <c r="E6785" s="2"/>
    </row>
    <row r="6786" spans="5:5" x14ac:dyDescent="0.25">
      <c r="E6786" s="2"/>
    </row>
    <row r="6787" spans="5:5" x14ac:dyDescent="0.25">
      <c r="E6787" s="2"/>
    </row>
    <row r="6788" spans="5:5" x14ac:dyDescent="0.25">
      <c r="E6788" s="2"/>
    </row>
    <row r="6789" spans="5:5" x14ac:dyDescent="0.25">
      <c r="E6789" s="2"/>
    </row>
    <row r="6790" spans="5:5" x14ac:dyDescent="0.25">
      <c r="E6790" s="2"/>
    </row>
    <row r="6791" spans="5:5" x14ac:dyDescent="0.25">
      <c r="E6791" s="2"/>
    </row>
    <row r="6792" spans="5:5" x14ac:dyDescent="0.25">
      <c r="E6792" s="2"/>
    </row>
    <row r="6793" spans="5:5" x14ac:dyDescent="0.25">
      <c r="E6793" s="2"/>
    </row>
    <row r="6794" spans="5:5" x14ac:dyDescent="0.25">
      <c r="E6794" s="2"/>
    </row>
    <row r="6795" spans="5:5" x14ac:dyDescent="0.25">
      <c r="E6795" s="2"/>
    </row>
    <row r="6796" spans="5:5" x14ac:dyDescent="0.25">
      <c r="E6796" s="2"/>
    </row>
    <row r="6797" spans="5:5" x14ac:dyDescent="0.25">
      <c r="E6797" s="2"/>
    </row>
    <row r="6798" spans="5:5" x14ac:dyDescent="0.25">
      <c r="E6798" s="2"/>
    </row>
    <row r="6799" spans="5:5" x14ac:dyDescent="0.25">
      <c r="E6799" s="2"/>
    </row>
    <row r="6800" spans="5:5" x14ac:dyDescent="0.25">
      <c r="E6800" s="2"/>
    </row>
    <row r="6801" spans="5:5" x14ac:dyDescent="0.25">
      <c r="E6801" s="2"/>
    </row>
    <row r="6802" spans="5:5" x14ac:dyDescent="0.25">
      <c r="E6802" s="2"/>
    </row>
    <row r="6803" spans="5:5" x14ac:dyDescent="0.25">
      <c r="E6803" s="2"/>
    </row>
    <row r="6804" spans="5:5" x14ac:dyDescent="0.25">
      <c r="E6804" s="2"/>
    </row>
    <row r="6805" spans="5:5" x14ac:dyDescent="0.25">
      <c r="E6805" s="2"/>
    </row>
    <row r="6806" spans="5:5" x14ac:dyDescent="0.25">
      <c r="E6806" s="2"/>
    </row>
    <row r="6807" spans="5:5" x14ac:dyDescent="0.25">
      <c r="E6807" s="2"/>
    </row>
    <row r="6808" spans="5:5" x14ac:dyDescent="0.25">
      <c r="E6808" s="2"/>
    </row>
    <row r="6809" spans="5:5" x14ac:dyDescent="0.25">
      <c r="E6809" s="2"/>
    </row>
    <row r="6810" spans="5:5" x14ac:dyDescent="0.25">
      <c r="E6810" s="2"/>
    </row>
    <row r="6811" spans="5:5" x14ac:dyDescent="0.25">
      <c r="E6811" s="2"/>
    </row>
    <row r="6812" spans="5:5" x14ac:dyDescent="0.25">
      <c r="E6812" s="2"/>
    </row>
    <row r="6813" spans="5:5" x14ac:dyDescent="0.25">
      <c r="E6813" s="2"/>
    </row>
    <row r="6814" spans="5:5" x14ac:dyDescent="0.25">
      <c r="E6814" s="2"/>
    </row>
    <row r="6815" spans="5:5" x14ac:dyDescent="0.25">
      <c r="E6815" s="2"/>
    </row>
    <row r="6816" spans="5:5" x14ac:dyDescent="0.25">
      <c r="E6816" s="2"/>
    </row>
    <row r="6817" spans="5:5" x14ac:dyDescent="0.25">
      <c r="E6817" s="2"/>
    </row>
    <row r="6818" spans="5:5" x14ac:dyDescent="0.25">
      <c r="E6818" s="2"/>
    </row>
    <row r="6819" spans="5:5" x14ac:dyDescent="0.25">
      <c r="E6819" s="2"/>
    </row>
    <row r="6820" spans="5:5" x14ac:dyDescent="0.25">
      <c r="E6820" s="2"/>
    </row>
    <row r="6821" spans="5:5" x14ac:dyDescent="0.25">
      <c r="E6821" s="2"/>
    </row>
    <row r="6822" spans="5:5" x14ac:dyDescent="0.25">
      <c r="E6822" s="2"/>
    </row>
    <row r="6823" spans="5:5" x14ac:dyDescent="0.25">
      <c r="E6823" s="2"/>
    </row>
    <row r="6824" spans="5:5" x14ac:dyDescent="0.25">
      <c r="E6824" s="2"/>
    </row>
    <row r="6825" spans="5:5" x14ac:dyDescent="0.25">
      <c r="E6825" s="2"/>
    </row>
    <row r="6826" spans="5:5" x14ac:dyDescent="0.25">
      <c r="E6826" s="2"/>
    </row>
    <row r="6827" spans="5:5" x14ac:dyDescent="0.25">
      <c r="E6827" s="2"/>
    </row>
    <row r="6828" spans="5:5" x14ac:dyDescent="0.25">
      <c r="E6828" s="2"/>
    </row>
    <row r="6829" spans="5:5" x14ac:dyDescent="0.25">
      <c r="E6829" s="2"/>
    </row>
    <row r="6830" spans="5:5" x14ac:dyDescent="0.25">
      <c r="E6830" s="2"/>
    </row>
    <row r="6831" spans="5:5" x14ac:dyDescent="0.25">
      <c r="E6831" s="2"/>
    </row>
    <row r="6832" spans="5:5" x14ac:dyDescent="0.25">
      <c r="E6832" s="2"/>
    </row>
    <row r="6833" spans="5:5" x14ac:dyDescent="0.25">
      <c r="E6833" s="2"/>
    </row>
    <row r="6834" spans="5:5" x14ac:dyDescent="0.25">
      <c r="E6834" s="2"/>
    </row>
    <row r="6835" spans="5:5" x14ac:dyDescent="0.25">
      <c r="E6835" s="2"/>
    </row>
    <row r="6836" spans="5:5" x14ac:dyDescent="0.25">
      <c r="E6836" s="2"/>
    </row>
    <row r="6837" spans="5:5" x14ac:dyDescent="0.25">
      <c r="E6837" s="2"/>
    </row>
    <row r="6838" spans="5:5" x14ac:dyDescent="0.25">
      <c r="E6838" s="2"/>
    </row>
    <row r="6839" spans="5:5" x14ac:dyDescent="0.25">
      <c r="E6839" s="2"/>
    </row>
    <row r="6840" spans="5:5" x14ac:dyDescent="0.25">
      <c r="E6840" s="2"/>
    </row>
    <row r="6841" spans="5:5" x14ac:dyDescent="0.25">
      <c r="E6841" s="2"/>
    </row>
    <row r="6842" spans="5:5" x14ac:dyDescent="0.25">
      <c r="E6842" s="2"/>
    </row>
    <row r="6843" spans="5:5" x14ac:dyDescent="0.25">
      <c r="E6843" s="2"/>
    </row>
    <row r="6844" spans="5:5" x14ac:dyDescent="0.25">
      <c r="E6844" s="2"/>
    </row>
    <row r="6845" spans="5:5" x14ac:dyDescent="0.25">
      <c r="E6845" s="2"/>
    </row>
    <row r="6846" spans="5:5" x14ac:dyDescent="0.25">
      <c r="E6846" s="2"/>
    </row>
    <row r="6847" spans="5:5" x14ac:dyDescent="0.25">
      <c r="E6847" s="2"/>
    </row>
    <row r="6848" spans="5:5" x14ac:dyDescent="0.25">
      <c r="E6848" s="2"/>
    </row>
    <row r="6849" spans="5:5" x14ac:dyDescent="0.25">
      <c r="E6849" s="2"/>
    </row>
    <row r="6850" spans="5:5" x14ac:dyDescent="0.25">
      <c r="E6850" s="2"/>
    </row>
    <row r="6851" spans="5:5" x14ac:dyDescent="0.25">
      <c r="E6851" s="2"/>
    </row>
    <row r="6852" spans="5:5" x14ac:dyDescent="0.25">
      <c r="E6852" s="2"/>
    </row>
    <row r="6853" spans="5:5" x14ac:dyDescent="0.25">
      <c r="E6853" s="2"/>
    </row>
    <row r="6854" spans="5:5" x14ac:dyDescent="0.25">
      <c r="E6854" s="2"/>
    </row>
    <row r="6855" spans="5:5" x14ac:dyDescent="0.25">
      <c r="E6855" s="2"/>
    </row>
    <row r="6856" spans="5:5" x14ac:dyDescent="0.25">
      <c r="E6856" s="2"/>
    </row>
    <row r="6857" spans="5:5" x14ac:dyDescent="0.25">
      <c r="E6857" s="2"/>
    </row>
    <row r="6858" spans="5:5" x14ac:dyDescent="0.25">
      <c r="E6858" s="2"/>
    </row>
    <row r="6859" spans="5:5" x14ac:dyDescent="0.25">
      <c r="E6859" s="2"/>
    </row>
    <row r="6860" spans="5:5" x14ac:dyDescent="0.25">
      <c r="E6860" s="2"/>
    </row>
    <row r="6861" spans="5:5" x14ac:dyDescent="0.25">
      <c r="E6861" s="2"/>
    </row>
    <row r="6862" spans="5:5" x14ac:dyDescent="0.25">
      <c r="E6862" s="2"/>
    </row>
    <row r="6863" spans="5:5" x14ac:dyDescent="0.25">
      <c r="E6863" s="2"/>
    </row>
    <row r="6864" spans="5:5" x14ac:dyDescent="0.25">
      <c r="E6864" s="2"/>
    </row>
    <row r="6865" spans="5:5" x14ac:dyDescent="0.25">
      <c r="E6865" s="2"/>
    </row>
    <row r="6866" spans="5:5" x14ac:dyDescent="0.25">
      <c r="E6866" s="2"/>
    </row>
    <row r="6867" spans="5:5" x14ac:dyDescent="0.25">
      <c r="E6867" s="2"/>
    </row>
    <row r="6868" spans="5:5" x14ac:dyDescent="0.25">
      <c r="E6868" s="2"/>
    </row>
    <row r="6869" spans="5:5" x14ac:dyDescent="0.25">
      <c r="E6869" s="2"/>
    </row>
    <row r="6870" spans="5:5" x14ac:dyDescent="0.25">
      <c r="E6870" s="2"/>
    </row>
    <row r="6871" spans="5:5" x14ac:dyDescent="0.25">
      <c r="E6871" s="2"/>
    </row>
    <row r="6872" spans="5:5" x14ac:dyDescent="0.25">
      <c r="E6872" s="2"/>
    </row>
    <row r="6873" spans="5:5" x14ac:dyDescent="0.25">
      <c r="E6873" s="2"/>
    </row>
    <row r="6874" spans="5:5" x14ac:dyDescent="0.25">
      <c r="E6874" s="2"/>
    </row>
    <row r="6875" spans="5:5" x14ac:dyDescent="0.25">
      <c r="E6875" s="2"/>
    </row>
    <row r="6876" spans="5:5" x14ac:dyDescent="0.25">
      <c r="E6876" s="2"/>
    </row>
    <row r="6877" spans="5:5" x14ac:dyDescent="0.25">
      <c r="E6877" s="2"/>
    </row>
    <row r="6878" spans="5:5" x14ac:dyDescent="0.25">
      <c r="E6878" s="2"/>
    </row>
    <row r="6879" spans="5:5" x14ac:dyDescent="0.25">
      <c r="E6879" s="2"/>
    </row>
    <row r="6880" spans="5:5" x14ac:dyDescent="0.25">
      <c r="E6880" s="2"/>
    </row>
    <row r="6881" spans="5:5" x14ac:dyDescent="0.25">
      <c r="E6881" s="2"/>
    </row>
    <row r="6882" spans="5:5" x14ac:dyDescent="0.25">
      <c r="E6882" s="2"/>
    </row>
    <row r="6883" spans="5:5" x14ac:dyDescent="0.25">
      <c r="E6883" s="2"/>
    </row>
    <row r="6884" spans="5:5" x14ac:dyDescent="0.25">
      <c r="E6884" s="2"/>
    </row>
    <row r="6885" spans="5:5" x14ac:dyDescent="0.25">
      <c r="E6885" s="2"/>
    </row>
    <row r="6886" spans="5:5" x14ac:dyDescent="0.25">
      <c r="E6886" s="2"/>
    </row>
    <row r="6887" spans="5:5" x14ac:dyDescent="0.25">
      <c r="E6887" s="2"/>
    </row>
    <row r="6888" spans="5:5" x14ac:dyDescent="0.25">
      <c r="E6888" s="2"/>
    </row>
    <row r="6889" spans="5:5" x14ac:dyDescent="0.25">
      <c r="E6889" s="2"/>
    </row>
    <row r="6890" spans="5:5" x14ac:dyDescent="0.25">
      <c r="E6890" s="2"/>
    </row>
    <row r="6891" spans="5:5" x14ac:dyDescent="0.25">
      <c r="E6891" s="2"/>
    </row>
    <row r="6892" spans="5:5" x14ac:dyDescent="0.25">
      <c r="E6892" s="2"/>
    </row>
    <row r="6893" spans="5:5" x14ac:dyDescent="0.25">
      <c r="E6893" s="2"/>
    </row>
    <row r="6894" spans="5:5" x14ac:dyDescent="0.25">
      <c r="E6894" s="2"/>
    </row>
    <row r="6895" spans="5:5" x14ac:dyDescent="0.25">
      <c r="E6895" s="2"/>
    </row>
    <row r="6896" spans="5:5" x14ac:dyDescent="0.25">
      <c r="E6896" s="2"/>
    </row>
    <row r="6897" spans="5:5" x14ac:dyDescent="0.25">
      <c r="E6897" s="2"/>
    </row>
    <row r="6898" spans="5:5" x14ac:dyDescent="0.25">
      <c r="E6898" s="2"/>
    </row>
    <row r="6899" spans="5:5" x14ac:dyDescent="0.25">
      <c r="E6899" s="2"/>
    </row>
    <row r="6900" spans="5:5" x14ac:dyDescent="0.25">
      <c r="E6900" s="2"/>
    </row>
    <row r="6901" spans="5:5" x14ac:dyDescent="0.25">
      <c r="E6901" s="2"/>
    </row>
    <row r="6902" spans="5:5" x14ac:dyDescent="0.25">
      <c r="E6902" s="2"/>
    </row>
    <row r="6903" spans="5:5" x14ac:dyDescent="0.25">
      <c r="E6903" s="2"/>
    </row>
    <row r="6904" spans="5:5" x14ac:dyDescent="0.25">
      <c r="E6904" s="2"/>
    </row>
    <row r="6905" spans="5:5" x14ac:dyDescent="0.25">
      <c r="E6905" s="2"/>
    </row>
    <row r="6906" spans="5:5" x14ac:dyDescent="0.25">
      <c r="E6906" s="2"/>
    </row>
    <row r="6907" spans="5:5" x14ac:dyDescent="0.25">
      <c r="E6907" s="2"/>
    </row>
    <row r="6908" spans="5:5" x14ac:dyDescent="0.25">
      <c r="E6908" s="2"/>
    </row>
    <row r="6909" spans="5:5" x14ac:dyDescent="0.25">
      <c r="E6909" s="2"/>
    </row>
    <row r="6910" spans="5:5" x14ac:dyDescent="0.25">
      <c r="E6910" s="2"/>
    </row>
    <row r="6911" spans="5:5" x14ac:dyDescent="0.25">
      <c r="E6911" s="2"/>
    </row>
    <row r="6912" spans="5:5" x14ac:dyDescent="0.25">
      <c r="E6912" s="2"/>
    </row>
    <row r="6913" spans="5:5" x14ac:dyDescent="0.25">
      <c r="E6913" s="2"/>
    </row>
    <row r="6914" spans="5:5" x14ac:dyDescent="0.25">
      <c r="E6914" s="2"/>
    </row>
    <row r="6915" spans="5:5" x14ac:dyDescent="0.25">
      <c r="E6915" s="2"/>
    </row>
    <row r="6916" spans="5:5" x14ac:dyDescent="0.25">
      <c r="E6916" s="2"/>
    </row>
    <row r="6917" spans="5:5" x14ac:dyDescent="0.25">
      <c r="E6917" s="2"/>
    </row>
    <row r="6918" spans="5:5" x14ac:dyDescent="0.25">
      <c r="E6918" s="2"/>
    </row>
    <row r="6919" spans="5:5" x14ac:dyDescent="0.25">
      <c r="E6919" s="2"/>
    </row>
    <row r="6920" spans="5:5" x14ac:dyDescent="0.25">
      <c r="E6920" s="2"/>
    </row>
    <row r="6921" spans="5:5" x14ac:dyDescent="0.25">
      <c r="E6921" s="2"/>
    </row>
    <row r="6922" spans="5:5" x14ac:dyDescent="0.25">
      <c r="E6922" s="2"/>
    </row>
    <row r="6923" spans="5:5" x14ac:dyDescent="0.25">
      <c r="E6923" s="2"/>
    </row>
    <row r="6924" spans="5:5" x14ac:dyDescent="0.25">
      <c r="E6924" s="2"/>
    </row>
    <row r="6925" spans="5:5" x14ac:dyDescent="0.25">
      <c r="E6925" s="2"/>
    </row>
    <row r="6926" spans="5:5" x14ac:dyDescent="0.25">
      <c r="E6926" s="2"/>
    </row>
    <row r="6927" spans="5:5" x14ac:dyDescent="0.25">
      <c r="E6927" s="2"/>
    </row>
    <row r="6928" spans="5:5" x14ac:dyDescent="0.25">
      <c r="E6928" s="2"/>
    </row>
    <row r="6929" spans="5:5" x14ac:dyDescent="0.25">
      <c r="E6929" s="2"/>
    </row>
    <row r="6930" spans="5:5" x14ac:dyDescent="0.25">
      <c r="E6930" s="2"/>
    </row>
    <row r="6931" spans="5:5" x14ac:dyDescent="0.25">
      <c r="E6931" s="2"/>
    </row>
    <row r="6932" spans="5:5" x14ac:dyDescent="0.25">
      <c r="E6932" s="2"/>
    </row>
    <row r="6933" spans="5:5" x14ac:dyDescent="0.25">
      <c r="E6933" s="2"/>
    </row>
    <row r="6934" spans="5:5" x14ac:dyDescent="0.25">
      <c r="E6934" s="2"/>
    </row>
    <row r="6935" spans="5:5" x14ac:dyDescent="0.25">
      <c r="E6935" s="2"/>
    </row>
    <row r="6936" spans="5:5" x14ac:dyDescent="0.25">
      <c r="E6936" s="2"/>
    </row>
    <row r="6937" spans="5:5" x14ac:dyDescent="0.25">
      <c r="E6937" s="2"/>
    </row>
    <row r="6938" spans="5:5" x14ac:dyDescent="0.25">
      <c r="E6938" s="2"/>
    </row>
    <row r="6939" spans="5:5" x14ac:dyDescent="0.25">
      <c r="E6939" s="2"/>
    </row>
    <row r="6940" spans="5:5" x14ac:dyDescent="0.25">
      <c r="E6940" s="2"/>
    </row>
    <row r="6941" spans="5:5" x14ac:dyDescent="0.25">
      <c r="E6941" s="2"/>
    </row>
    <row r="6942" spans="5:5" x14ac:dyDescent="0.25">
      <c r="E6942" s="2"/>
    </row>
    <row r="6943" spans="5:5" x14ac:dyDescent="0.25">
      <c r="E6943" s="2"/>
    </row>
    <row r="6944" spans="5:5" x14ac:dyDescent="0.25">
      <c r="E6944" s="2"/>
    </row>
    <row r="6945" spans="5:5" x14ac:dyDescent="0.25">
      <c r="E6945" s="2"/>
    </row>
    <row r="6946" spans="5:5" x14ac:dyDescent="0.25">
      <c r="E6946" s="2"/>
    </row>
    <row r="6947" spans="5:5" x14ac:dyDescent="0.25">
      <c r="E6947" s="2"/>
    </row>
    <row r="6948" spans="5:5" x14ac:dyDescent="0.25">
      <c r="E6948" s="2"/>
    </row>
    <row r="6949" spans="5:5" x14ac:dyDescent="0.25">
      <c r="E6949" s="2"/>
    </row>
    <row r="6950" spans="5:5" x14ac:dyDescent="0.25">
      <c r="E6950" s="2"/>
    </row>
    <row r="6951" spans="5:5" x14ac:dyDescent="0.25">
      <c r="E6951" s="2"/>
    </row>
    <row r="6952" spans="5:5" x14ac:dyDescent="0.25">
      <c r="E6952" s="2"/>
    </row>
    <row r="6953" spans="5:5" x14ac:dyDescent="0.25">
      <c r="E6953" s="2"/>
    </row>
    <row r="6954" spans="5:5" x14ac:dyDescent="0.25">
      <c r="E6954" s="2"/>
    </row>
    <row r="6955" spans="5:5" x14ac:dyDescent="0.25">
      <c r="E6955" s="2"/>
    </row>
    <row r="6956" spans="5:5" x14ac:dyDescent="0.25">
      <c r="E6956" s="2"/>
    </row>
    <row r="6957" spans="5:5" x14ac:dyDescent="0.25">
      <c r="E6957" s="2"/>
    </row>
    <row r="6958" spans="5:5" x14ac:dyDescent="0.25">
      <c r="E6958" s="2"/>
    </row>
    <row r="6959" spans="5:5" x14ac:dyDescent="0.25">
      <c r="E6959" s="2"/>
    </row>
    <row r="6960" spans="5:5" x14ac:dyDescent="0.25">
      <c r="E6960" s="2"/>
    </row>
    <row r="6961" spans="5:5" x14ac:dyDescent="0.25">
      <c r="E6961" s="2"/>
    </row>
    <row r="6962" spans="5:5" x14ac:dyDescent="0.25">
      <c r="E6962" s="2"/>
    </row>
    <row r="6963" spans="5:5" x14ac:dyDescent="0.25">
      <c r="E6963" s="2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FDEEA-BA5C-41E3-A947-EA938A2105CE}">
  <sheetPr codeName="Sheet13"/>
  <dimension ref="A1:CL101"/>
  <sheetViews>
    <sheetView topLeftCell="BU1" workbookViewId="0">
      <selection activeCell="BW2" sqref="BW2"/>
    </sheetView>
  </sheetViews>
  <sheetFormatPr defaultRowHeight="15" x14ac:dyDescent="0.25"/>
  <cols>
    <col min="1" max="1" width="14.5703125" bestFit="1" customWidth="1"/>
    <col min="2" max="3" width="21.28515625" bestFit="1" customWidth="1"/>
    <col min="4" max="4" width="25.140625" bestFit="1" customWidth="1"/>
    <col min="5" max="5" width="29.28515625" bestFit="1" customWidth="1"/>
    <col min="6" max="6" width="26.140625" bestFit="1" customWidth="1"/>
    <col min="7" max="7" width="25.28515625" bestFit="1" customWidth="1"/>
    <col min="8" max="8" width="24.140625" bestFit="1" customWidth="1"/>
    <col min="9" max="9" width="25.85546875" bestFit="1" customWidth="1"/>
    <col min="10" max="10" width="26.28515625" bestFit="1" customWidth="1"/>
    <col min="11" max="11" width="24.28515625" bestFit="1" customWidth="1"/>
    <col min="12" max="12" width="24.42578125" bestFit="1" customWidth="1"/>
    <col min="13" max="13" width="26" bestFit="1" customWidth="1"/>
    <col min="14" max="14" width="26.42578125" bestFit="1" customWidth="1"/>
    <col min="15" max="15" width="15.140625" bestFit="1" customWidth="1"/>
    <col min="16" max="16" width="29.28515625" bestFit="1" customWidth="1"/>
    <col min="17" max="17" width="28.7109375" bestFit="1" customWidth="1"/>
    <col min="18" max="18" width="34.5703125" bestFit="1" customWidth="1"/>
    <col min="19" max="19" width="33.5703125" bestFit="1" customWidth="1"/>
    <col min="20" max="20" width="38" bestFit="1" customWidth="1"/>
    <col min="21" max="21" width="32.85546875" bestFit="1" customWidth="1"/>
    <col min="22" max="22" width="29.28515625" bestFit="1" customWidth="1"/>
    <col min="23" max="23" width="29.7109375" bestFit="1" customWidth="1"/>
    <col min="24" max="24" width="64" bestFit="1" customWidth="1"/>
    <col min="25" max="25" width="34.7109375" bestFit="1" customWidth="1"/>
    <col min="26" max="26" width="19" bestFit="1" customWidth="1"/>
    <col min="27" max="27" width="28.85546875" bestFit="1" customWidth="1"/>
    <col min="28" max="28" width="28.28515625" bestFit="1" customWidth="1"/>
    <col min="29" max="29" width="34.140625" bestFit="1" customWidth="1"/>
    <col min="30" max="30" width="33.140625" bestFit="1" customWidth="1"/>
    <col min="31" max="31" width="38" bestFit="1" customWidth="1"/>
    <col min="32" max="32" width="32.42578125" bestFit="1" customWidth="1"/>
    <col min="33" max="33" width="28.85546875" bestFit="1" customWidth="1"/>
    <col min="34" max="34" width="29.28515625" bestFit="1" customWidth="1"/>
    <col min="35" max="35" width="64" bestFit="1" customWidth="1"/>
    <col min="36" max="36" width="34.28515625" bestFit="1" customWidth="1"/>
    <col min="37" max="37" width="18.5703125" bestFit="1" customWidth="1"/>
    <col min="38" max="38" width="15.140625" bestFit="1" customWidth="1"/>
    <col min="39" max="39" width="29.5703125" bestFit="1" customWidth="1"/>
    <col min="40" max="40" width="29" bestFit="1" customWidth="1"/>
    <col min="41" max="41" width="34.85546875" bestFit="1" customWidth="1"/>
    <col min="42" max="42" width="33.85546875" bestFit="1" customWidth="1"/>
    <col min="43" max="43" width="36.42578125" bestFit="1" customWidth="1"/>
    <col min="44" max="44" width="33.140625" bestFit="1" customWidth="1"/>
    <col min="45" max="45" width="29.5703125" bestFit="1" customWidth="1"/>
    <col min="46" max="46" width="30" bestFit="1" customWidth="1"/>
    <col min="47" max="47" width="64" bestFit="1" customWidth="1"/>
    <col min="48" max="48" width="35" bestFit="1" customWidth="1"/>
    <col min="49" max="49" width="19.28515625" bestFit="1" customWidth="1"/>
    <col min="50" max="50" width="28.7109375" bestFit="1" customWidth="1"/>
    <col min="51" max="51" width="37.42578125" bestFit="1" customWidth="1"/>
    <col min="52" max="52" width="19.5703125" bestFit="1" customWidth="1"/>
    <col min="53" max="53" width="64" bestFit="1" customWidth="1"/>
    <col min="54" max="54" width="18.140625" bestFit="1" customWidth="1"/>
    <col min="55" max="55" width="24" bestFit="1" customWidth="1"/>
    <col min="56" max="56" width="25" bestFit="1" customWidth="1"/>
    <col min="57" max="57" width="24.140625" bestFit="1" customWidth="1"/>
    <col min="58" max="58" width="37.42578125" bestFit="1" customWidth="1"/>
    <col min="59" max="59" width="19.7109375" bestFit="1" customWidth="1"/>
    <col min="60" max="60" width="24.85546875" bestFit="1" customWidth="1"/>
    <col min="61" max="61" width="20.42578125" bestFit="1" customWidth="1"/>
    <col min="62" max="62" width="19.28515625" bestFit="1" customWidth="1"/>
    <col min="63" max="63" width="19.140625" bestFit="1" customWidth="1"/>
    <col min="64" max="64" width="23.28515625" bestFit="1" customWidth="1"/>
    <col min="65" max="65" width="20.28515625" bestFit="1" customWidth="1"/>
    <col min="66" max="66" width="19.28515625" bestFit="1" customWidth="1"/>
    <col min="67" max="67" width="15.85546875" bestFit="1" customWidth="1"/>
    <col min="68" max="68" width="17.140625" bestFit="1" customWidth="1"/>
    <col min="69" max="69" width="20.42578125" bestFit="1" customWidth="1"/>
    <col min="70" max="70" width="37" bestFit="1" customWidth="1"/>
    <col min="71" max="71" width="16" bestFit="1" customWidth="1"/>
    <col min="72" max="73" width="81.140625" bestFit="1" customWidth="1"/>
    <col min="74" max="74" width="15.85546875" bestFit="1" customWidth="1"/>
    <col min="75" max="75" width="38" bestFit="1" customWidth="1"/>
    <col min="76" max="76" width="15" bestFit="1" customWidth="1"/>
    <col min="77" max="77" width="18.7109375" bestFit="1" customWidth="1"/>
    <col min="78" max="78" width="30.85546875" bestFit="1" customWidth="1"/>
    <col min="79" max="79" width="30.28515625" bestFit="1" customWidth="1"/>
    <col min="80" max="80" width="36.28515625" bestFit="1" customWidth="1"/>
    <col min="81" max="81" width="35.140625" bestFit="1" customWidth="1"/>
    <col min="82" max="82" width="37.7109375" bestFit="1" customWidth="1"/>
    <col min="83" max="83" width="34.42578125" bestFit="1" customWidth="1"/>
    <col min="84" max="84" width="30.85546875" bestFit="1" customWidth="1"/>
    <col min="85" max="85" width="31.28515625" bestFit="1" customWidth="1"/>
    <col min="86" max="86" width="64" bestFit="1" customWidth="1"/>
    <col min="87" max="87" width="36.42578125" bestFit="1" customWidth="1"/>
    <col min="88" max="88" width="20.7109375" bestFit="1" customWidth="1"/>
    <col min="89" max="89" width="25.140625" bestFit="1" customWidth="1"/>
    <col min="90" max="90" width="36.28515625" bestFit="1" customWidth="1"/>
  </cols>
  <sheetData>
    <row r="1" spans="1:90" x14ac:dyDescent="0.25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77</v>
      </c>
      <c r="R1" t="s">
        <v>78</v>
      </c>
      <c r="S1" t="s">
        <v>79</v>
      </c>
      <c r="T1" t="s">
        <v>80</v>
      </c>
      <c r="U1" t="s">
        <v>81</v>
      </c>
      <c r="V1" t="s">
        <v>82</v>
      </c>
      <c r="W1" t="s">
        <v>83</v>
      </c>
      <c r="X1" t="s">
        <v>84</v>
      </c>
      <c r="Y1" t="s">
        <v>85</v>
      </c>
      <c r="Z1" t="s">
        <v>86</v>
      </c>
      <c r="AA1" t="s">
        <v>87</v>
      </c>
      <c r="AB1" t="s">
        <v>88</v>
      </c>
      <c r="AC1" t="s">
        <v>89</v>
      </c>
      <c r="AD1" t="s">
        <v>90</v>
      </c>
      <c r="AE1" t="s">
        <v>91</v>
      </c>
      <c r="AF1" t="s">
        <v>92</v>
      </c>
      <c r="AG1" t="s">
        <v>93</v>
      </c>
      <c r="AH1" t="s">
        <v>94</v>
      </c>
      <c r="AI1" t="s">
        <v>95</v>
      </c>
      <c r="AJ1" t="s">
        <v>96</v>
      </c>
      <c r="AK1" t="s">
        <v>97</v>
      </c>
      <c r="AL1" t="s">
        <v>98</v>
      </c>
      <c r="AM1" t="s">
        <v>99</v>
      </c>
      <c r="AN1" t="s">
        <v>100</v>
      </c>
      <c r="AO1" t="s">
        <v>101</v>
      </c>
      <c r="AP1" t="s">
        <v>102</v>
      </c>
      <c r="AQ1" t="s">
        <v>103</v>
      </c>
      <c r="AR1" t="s">
        <v>104</v>
      </c>
      <c r="AS1" t="s">
        <v>105</v>
      </c>
      <c r="AT1" t="s">
        <v>106</v>
      </c>
      <c r="AU1" t="s">
        <v>107</v>
      </c>
      <c r="AV1" t="s">
        <v>108</v>
      </c>
      <c r="AW1" t="s">
        <v>109</v>
      </c>
      <c r="AX1" t="s">
        <v>110</v>
      </c>
      <c r="AY1" t="s">
        <v>111</v>
      </c>
      <c r="AZ1" t="s">
        <v>112</v>
      </c>
      <c r="BA1" t="s">
        <v>113</v>
      </c>
      <c r="BB1" t="s">
        <v>0</v>
      </c>
      <c r="BC1" t="s">
        <v>114</v>
      </c>
      <c r="BD1" t="s">
        <v>115</v>
      </c>
      <c r="BE1" t="s">
        <v>116</v>
      </c>
      <c r="BF1" t="s">
        <v>117</v>
      </c>
      <c r="BG1" t="s">
        <v>118</v>
      </c>
      <c r="BH1" t="s">
        <v>119</v>
      </c>
      <c r="BI1" t="s">
        <v>120</v>
      </c>
      <c r="BJ1" t="s">
        <v>121</v>
      </c>
      <c r="BK1" t="s">
        <v>122</v>
      </c>
      <c r="BL1" t="s">
        <v>123</v>
      </c>
      <c r="BM1" t="s">
        <v>124</v>
      </c>
      <c r="BN1" t="s">
        <v>125</v>
      </c>
      <c r="BO1" t="s">
        <v>126</v>
      </c>
      <c r="BP1" t="s">
        <v>127</v>
      </c>
      <c r="BQ1" t="s">
        <v>128</v>
      </c>
      <c r="BR1" t="s">
        <v>129</v>
      </c>
      <c r="BS1" t="s">
        <v>130</v>
      </c>
      <c r="BT1" t="s">
        <v>131</v>
      </c>
      <c r="BU1" t="s">
        <v>132</v>
      </c>
      <c r="BV1" t="s">
        <v>133</v>
      </c>
      <c r="BW1" t="s">
        <v>134</v>
      </c>
      <c r="BX1" t="s">
        <v>135</v>
      </c>
      <c r="BY1" t="s">
        <v>136</v>
      </c>
      <c r="BZ1" t="s">
        <v>137</v>
      </c>
      <c r="CA1" t="s">
        <v>138</v>
      </c>
      <c r="CB1" t="s">
        <v>139</v>
      </c>
      <c r="CC1" t="s">
        <v>140</v>
      </c>
      <c r="CD1" t="s">
        <v>141</v>
      </c>
      <c r="CE1" t="s">
        <v>142</v>
      </c>
      <c r="CF1" t="s">
        <v>143</v>
      </c>
      <c r="CG1" t="s">
        <v>144</v>
      </c>
      <c r="CH1" t="s">
        <v>145</v>
      </c>
      <c r="CI1" t="s">
        <v>146</v>
      </c>
      <c r="CJ1" t="s">
        <v>147</v>
      </c>
      <c r="CK1" t="s">
        <v>148</v>
      </c>
      <c r="CL1" t="s">
        <v>149</v>
      </c>
    </row>
    <row r="2" spans="1:90" x14ac:dyDescent="0.25">
      <c r="A2" t="s">
        <v>171</v>
      </c>
      <c r="C2" t="s">
        <v>150</v>
      </c>
      <c r="H2">
        <v>2378.973</v>
      </c>
      <c r="I2">
        <v>5468</v>
      </c>
      <c r="J2">
        <v>0</v>
      </c>
      <c r="K2">
        <v>5468</v>
      </c>
      <c r="M2">
        <v>644831</v>
      </c>
      <c r="P2">
        <v>242.90379180037081</v>
      </c>
      <c r="Q2">
        <v>1628410883975</v>
      </c>
      <c r="R2">
        <v>8.2264690714642867</v>
      </c>
      <c r="T2" t="s">
        <v>172</v>
      </c>
      <c r="V2">
        <v>37.337784975899019</v>
      </c>
      <c r="W2">
        <v>-95.510423591244475</v>
      </c>
      <c r="X2" t="s">
        <v>173</v>
      </c>
      <c r="Z2">
        <v>1628410861975</v>
      </c>
      <c r="AA2">
        <v>229.08</v>
      </c>
      <c r="AB2">
        <v>1628411604053</v>
      </c>
      <c r="AC2">
        <v>19.490436119372024</v>
      </c>
      <c r="AE2" t="s">
        <v>172</v>
      </c>
      <c r="AG2">
        <v>37.352451629999997</v>
      </c>
      <c r="AH2">
        <v>-95.530015809999995</v>
      </c>
      <c r="AI2" t="s">
        <v>173</v>
      </c>
      <c r="AK2">
        <v>1628411506806</v>
      </c>
      <c r="AL2">
        <v>1</v>
      </c>
      <c r="AZ2" t="s">
        <v>174</v>
      </c>
      <c r="BA2" t="s">
        <v>173</v>
      </c>
      <c r="BB2" t="s">
        <v>175</v>
      </c>
      <c r="BF2" t="s">
        <v>176</v>
      </c>
      <c r="BG2" t="s">
        <v>177</v>
      </c>
      <c r="BH2" t="s">
        <v>178</v>
      </c>
      <c r="BI2">
        <v>116</v>
      </c>
      <c r="BP2" t="s">
        <v>179</v>
      </c>
      <c r="BQ2" t="s">
        <v>180</v>
      </c>
      <c r="BR2" t="s">
        <v>181</v>
      </c>
      <c r="BT2" t="s">
        <v>182</v>
      </c>
      <c r="BU2" s="17" t="s">
        <v>183</v>
      </c>
      <c r="BV2" t="s">
        <v>152</v>
      </c>
      <c r="BW2" t="s">
        <v>172</v>
      </c>
      <c r="BX2">
        <v>1628411508948</v>
      </c>
      <c r="BY2">
        <v>1</v>
      </c>
      <c r="BZ2">
        <v>242.77948617209961</v>
      </c>
      <c r="CA2">
        <v>1628410861975</v>
      </c>
      <c r="CF2">
        <v>37.337744999545727</v>
      </c>
      <c r="CG2">
        <v>-95.510501875514194</v>
      </c>
      <c r="CH2" t="s">
        <v>173</v>
      </c>
      <c r="CJ2">
        <v>1628410861975</v>
      </c>
      <c r="CK2" t="s">
        <v>184</v>
      </c>
      <c r="CL2" t="s">
        <v>185</v>
      </c>
    </row>
    <row r="3" spans="1:90" x14ac:dyDescent="0.25">
      <c r="A3" s="2" t="s">
        <v>171</v>
      </c>
      <c r="B3" s="2"/>
      <c r="C3" s="2" t="s">
        <v>150</v>
      </c>
      <c r="D3" s="2"/>
      <c r="E3" s="2"/>
      <c r="F3" s="2"/>
      <c r="G3" s="2"/>
      <c r="H3" s="2">
        <v>177.744</v>
      </c>
      <c r="I3" s="2">
        <v>215</v>
      </c>
      <c r="J3" s="2">
        <v>0</v>
      </c>
      <c r="K3" s="2">
        <v>215</v>
      </c>
      <c r="L3" s="2"/>
      <c r="M3" s="2">
        <v>82006</v>
      </c>
      <c r="N3" s="2"/>
      <c r="O3" s="2"/>
      <c r="P3" s="2">
        <v>239.20345158495559</v>
      </c>
      <c r="Q3" s="2">
        <v>1628410877817</v>
      </c>
      <c r="R3" s="2">
        <v>17.254122936368272</v>
      </c>
      <c r="S3" s="2"/>
      <c r="T3" s="2" t="s">
        <v>186</v>
      </c>
      <c r="U3" s="2"/>
      <c r="V3" s="2">
        <v>37.334969705609659</v>
      </c>
      <c r="W3" s="2">
        <v>-95.533947722580564</v>
      </c>
      <c r="X3" s="2" t="s">
        <v>187</v>
      </c>
      <c r="Y3" s="2"/>
      <c r="Z3" s="2">
        <v>1628410865817</v>
      </c>
      <c r="AA3" s="2">
        <v>239.26164028933351</v>
      </c>
      <c r="AB3" s="2">
        <v>1628410943823</v>
      </c>
      <c r="AC3" s="2">
        <v>17.588364012510649</v>
      </c>
      <c r="AD3" s="2"/>
      <c r="AE3" s="2" t="s">
        <v>186</v>
      </c>
      <c r="AF3" s="2"/>
      <c r="AG3" s="2">
        <v>37.33350061678447</v>
      </c>
      <c r="AH3" s="2">
        <v>-95.5347401176669</v>
      </c>
      <c r="AI3" s="2" t="s">
        <v>187</v>
      </c>
      <c r="AJ3" s="2"/>
      <c r="AK3" s="2">
        <v>1628410947823</v>
      </c>
      <c r="AL3" s="2">
        <v>1</v>
      </c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 t="s">
        <v>188</v>
      </c>
      <c r="BA3" s="2" t="s">
        <v>187</v>
      </c>
      <c r="BB3" s="2" t="s">
        <v>189</v>
      </c>
      <c r="BC3" s="2"/>
      <c r="BD3" s="2"/>
      <c r="BE3" s="2"/>
      <c r="BF3" s="2" t="s">
        <v>190</v>
      </c>
      <c r="BG3" s="2" t="s">
        <v>191</v>
      </c>
      <c r="BH3" s="2" t="s">
        <v>192</v>
      </c>
      <c r="BI3" s="2">
        <v>12</v>
      </c>
      <c r="BJ3" s="2"/>
      <c r="BK3" s="2"/>
      <c r="BL3" s="2"/>
      <c r="BM3" s="2"/>
      <c r="BN3" s="2"/>
      <c r="BO3" s="2"/>
      <c r="BP3" s="2" t="s">
        <v>179</v>
      </c>
      <c r="BQ3" s="2" t="s">
        <v>193</v>
      </c>
      <c r="BR3" s="2" t="s">
        <v>194</v>
      </c>
      <c r="BS3" s="2"/>
      <c r="BT3" s="2" t="s">
        <v>195</v>
      </c>
      <c r="BU3" s="2" t="s">
        <v>196</v>
      </c>
      <c r="BV3" s="2" t="s">
        <v>152</v>
      </c>
      <c r="BW3" s="2" t="s">
        <v>186</v>
      </c>
      <c r="BX3" s="2">
        <v>1628410948978</v>
      </c>
      <c r="BY3" s="2">
        <v>2</v>
      </c>
      <c r="BZ3" s="2">
        <v>239.16593305560011</v>
      </c>
      <c r="CA3" s="2">
        <v>1628410861817</v>
      </c>
      <c r="CB3" s="2"/>
      <c r="CC3" s="2"/>
      <c r="CD3" s="2"/>
      <c r="CE3" s="2"/>
      <c r="CF3" s="2">
        <v>37.334929057483144</v>
      </c>
      <c r="CG3" s="2">
        <v>-95.533759381107643</v>
      </c>
      <c r="CH3" s="2" t="s">
        <v>187</v>
      </c>
      <c r="CI3" s="2"/>
      <c r="CJ3" s="2">
        <v>1628410865817</v>
      </c>
      <c r="CK3" s="2" t="s">
        <v>197</v>
      </c>
      <c r="CL3" s="2" t="s">
        <v>198</v>
      </c>
    </row>
    <row r="4" spans="1:90" x14ac:dyDescent="0.25">
      <c r="A4" s="2" t="s">
        <v>171</v>
      </c>
      <c r="B4" s="2"/>
      <c r="C4" s="2" t="s">
        <v>150</v>
      </c>
      <c r="D4" s="2"/>
      <c r="E4" s="2"/>
      <c r="F4" s="2"/>
      <c r="G4" s="2"/>
      <c r="H4" s="2">
        <v>177.744</v>
      </c>
      <c r="I4" s="2">
        <v>215</v>
      </c>
      <c r="J4" s="2">
        <v>0</v>
      </c>
      <c r="K4" s="2">
        <v>215</v>
      </c>
      <c r="L4" s="2"/>
      <c r="M4" s="2">
        <v>82006</v>
      </c>
      <c r="N4" s="2"/>
      <c r="O4" s="2"/>
      <c r="P4" s="2">
        <v>239.20345158495559</v>
      </c>
      <c r="Q4" s="2">
        <v>1628410887962</v>
      </c>
      <c r="R4" s="2">
        <v>17.254122936368272</v>
      </c>
      <c r="S4" s="2"/>
      <c r="T4" s="2" t="s">
        <v>199</v>
      </c>
      <c r="U4" s="2"/>
      <c r="V4" s="2">
        <v>37.334969705609659</v>
      </c>
      <c r="W4" s="2">
        <v>-95.533947722580564</v>
      </c>
      <c r="X4" s="2" t="s">
        <v>200</v>
      </c>
      <c r="Y4" s="2"/>
      <c r="Z4" s="2">
        <v>1628410875961</v>
      </c>
      <c r="AA4" s="2">
        <v>239.26164028933351</v>
      </c>
      <c r="AB4" s="2">
        <v>1628410953966</v>
      </c>
      <c r="AC4" s="2">
        <v>17.588364012510649</v>
      </c>
      <c r="AD4" s="2"/>
      <c r="AE4" s="2" t="s">
        <v>199</v>
      </c>
      <c r="AF4" s="2"/>
      <c r="AG4" s="2">
        <v>37.33350061678447</v>
      </c>
      <c r="AH4" s="2">
        <v>-95.5347401176669</v>
      </c>
      <c r="AI4" s="2" t="s">
        <v>200</v>
      </c>
      <c r="AJ4" s="2"/>
      <c r="AK4" s="2">
        <v>1628410957967</v>
      </c>
      <c r="AL4" s="2">
        <v>1</v>
      </c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 t="s">
        <v>201</v>
      </c>
      <c r="BA4" s="2" t="s">
        <v>200</v>
      </c>
      <c r="BB4" s="2" t="s">
        <v>202</v>
      </c>
      <c r="BC4" s="2"/>
      <c r="BD4" s="2"/>
      <c r="BE4" s="2"/>
      <c r="BF4" s="2" t="s">
        <v>203</v>
      </c>
      <c r="BG4" s="2" t="s">
        <v>204</v>
      </c>
      <c r="BH4" s="2" t="s">
        <v>205</v>
      </c>
      <c r="BI4" s="2">
        <v>12</v>
      </c>
      <c r="BJ4" s="2"/>
      <c r="BK4" s="2"/>
      <c r="BL4" s="2"/>
      <c r="BM4" s="2"/>
      <c r="BN4" s="2"/>
      <c r="BO4" s="2"/>
      <c r="BP4" s="2" t="s">
        <v>179</v>
      </c>
      <c r="BQ4" s="2" t="s">
        <v>193</v>
      </c>
      <c r="BR4" s="2" t="s">
        <v>194</v>
      </c>
      <c r="BS4" s="2"/>
      <c r="BT4" s="2" t="s">
        <v>206</v>
      </c>
      <c r="BU4" s="2" t="s">
        <v>207</v>
      </c>
      <c r="BV4" s="2" t="s">
        <v>152</v>
      </c>
      <c r="BW4" s="2" t="s">
        <v>199</v>
      </c>
      <c r="BX4" s="2">
        <v>1628410963405</v>
      </c>
      <c r="BY4" s="2">
        <v>3</v>
      </c>
      <c r="BZ4" s="2">
        <v>239.16593305560011</v>
      </c>
      <c r="CA4" s="2">
        <v>1628410871961</v>
      </c>
      <c r="CB4" s="2"/>
      <c r="CC4" s="2"/>
      <c r="CD4" s="2"/>
      <c r="CE4" s="2"/>
      <c r="CF4" s="2">
        <v>37.334929057483144</v>
      </c>
      <c r="CG4" s="2">
        <v>-95.533759381107643</v>
      </c>
      <c r="CH4" s="2" t="s">
        <v>200</v>
      </c>
      <c r="CI4" s="2"/>
      <c r="CJ4" s="2">
        <v>1628410875961</v>
      </c>
      <c r="CK4" s="2" t="s">
        <v>197</v>
      </c>
      <c r="CL4" s="2" t="s">
        <v>198</v>
      </c>
    </row>
    <row r="5" spans="1:90" x14ac:dyDescent="0.25">
      <c r="A5" s="2" t="s">
        <v>171</v>
      </c>
      <c r="B5" s="2">
        <v>1628410917969</v>
      </c>
      <c r="C5" s="2" t="s">
        <v>150</v>
      </c>
      <c r="D5" s="2"/>
      <c r="E5" s="2"/>
      <c r="F5" s="2"/>
      <c r="G5" s="2"/>
      <c r="H5" s="2">
        <v>70.016999999999996</v>
      </c>
      <c r="I5" s="2">
        <v>78</v>
      </c>
      <c r="J5" s="2">
        <v>0</v>
      </c>
      <c r="K5" s="2">
        <v>78</v>
      </c>
      <c r="L5" s="2"/>
      <c r="M5" s="2">
        <v>38003</v>
      </c>
      <c r="N5" s="2"/>
      <c r="O5" s="2">
        <v>1628410917969</v>
      </c>
      <c r="P5" s="2">
        <v>243.06815661925097</v>
      </c>
      <c r="Q5" s="2">
        <v>1628410891967</v>
      </c>
      <c r="R5" s="2">
        <v>3.9284646840453061</v>
      </c>
      <c r="S5" s="2"/>
      <c r="T5" s="2" t="s">
        <v>208</v>
      </c>
      <c r="U5" s="2"/>
      <c r="V5" s="2">
        <v>37.337667475217366</v>
      </c>
      <c r="W5" s="2">
        <v>-95.509743559277496</v>
      </c>
      <c r="X5" s="2" t="s">
        <v>209</v>
      </c>
      <c r="Y5" s="2"/>
      <c r="Z5" s="2">
        <v>1628410879966</v>
      </c>
      <c r="AA5" s="2">
        <v>242.16689180453045</v>
      </c>
      <c r="AB5" s="2">
        <v>1628410915968</v>
      </c>
      <c r="AC5" s="2">
        <v>19.859073386652835</v>
      </c>
      <c r="AD5" s="2"/>
      <c r="AE5" s="2" t="s">
        <v>208</v>
      </c>
      <c r="AF5" s="2"/>
      <c r="AG5" s="2">
        <v>37.33716243579876</v>
      </c>
      <c r="AH5" s="2">
        <v>-95.51021644856506</v>
      </c>
      <c r="AI5" s="2" t="s">
        <v>209</v>
      </c>
      <c r="AJ5" s="2"/>
      <c r="AK5" s="2">
        <v>1628410917969</v>
      </c>
      <c r="AL5" s="2">
        <v>1</v>
      </c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 t="s">
        <v>210</v>
      </c>
      <c r="BA5" s="2" t="s">
        <v>209</v>
      </c>
      <c r="BB5" s="2" t="s">
        <v>189</v>
      </c>
      <c r="BC5" s="2"/>
      <c r="BD5" s="2"/>
      <c r="BE5" s="2"/>
      <c r="BF5" s="2" t="s">
        <v>190</v>
      </c>
      <c r="BG5" s="2" t="s">
        <v>211</v>
      </c>
      <c r="BH5" s="2" t="s">
        <v>212</v>
      </c>
      <c r="BI5" s="2">
        <v>5</v>
      </c>
      <c r="BJ5" s="2"/>
      <c r="BK5" s="2"/>
      <c r="BL5" s="2"/>
      <c r="BM5" s="2"/>
      <c r="BN5" s="2"/>
      <c r="BO5" s="2"/>
      <c r="BP5" s="2" t="s">
        <v>179</v>
      </c>
      <c r="BQ5" s="2" t="s">
        <v>193</v>
      </c>
      <c r="BR5" s="2" t="s">
        <v>194</v>
      </c>
      <c r="BS5" s="2"/>
      <c r="BT5" s="2" t="s">
        <v>213</v>
      </c>
      <c r="BU5" s="2" t="s">
        <v>214</v>
      </c>
      <c r="BV5" s="2" t="s">
        <v>152</v>
      </c>
      <c r="BW5" s="2" t="s">
        <v>208</v>
      </c>
      <c r="BX5" s="2">
        <v>1628410923429</v>
      </c>
      <c r="BY5" s="2">
        <v>4</v>
      </c>
      <c r="BZ5" s="2">
        <v>243.13469680577921</v>
      </c>
      <c r="CA5" s="2">
        <v>1628410879966</v>
      </c>
      <c r="CB5" s="2"/>
      <c r="CC5" s="2"/>
      <c r="CD5" s="2"/>
      <c r="CE5" s="2"/>
      <c r="CF5" s="2">
        <v>37.337683620081776</v>
      </c>
      <c r="CG5" s="2">
        <v>-95.509704042092281</v>
      </c>
      <c r="CH5" s="2" t="s">
        <v>209</v>
      </c>
      <c r="CI5" s="2"/>
      <c r="CJ5" s="2">
        <v>1628410879966</v>
      </c>
      <c r="CK5" s="2" t="s">
        <v>215</v>
      </c>
      <c r="CL5" s="2" t="s">
        <v>216</v>
      </c>
    </row>
    <row r="6" spans="1:90" x14ac:dyDescent="0.25">
      <c r="A6" s="2" t="s">
        <v>171</v>
      </c>
      <c r="B6" s="2"/>
      <c r="C6" s="2" t="s">
        <v>150</v>
      </c>
      <c r="D6" s="2"/>
      <c r="E6" s="2"/>
      <c r="F6" s="2"/>
      <c r="G6" s="2"/>
      <c r="H6" s="2">
        <v>2378.973</v>
      </c>
      <c r="I6" s="2">
        <v>5468</v>
      </c>
      <c r="J6" s="2">
        <v>0</v>
      </c>
      <c r="K6" s="2">
        <v>5468</v>
      </c>
      <c r="L6" s="2"/>
      <c r="M6" s="2">
        <v>707257</v>
      </c>
      <c r="N6" s="2"/>
      <c r="O6" s="2"/>
      <c r="P6" s="2">
        <v>242.90379180037081</v>
      </c>
      <c r="Q6" s="2">
        <v>1628410904716</v>
      </c>
      <c r="R6" s="2">
        <v>8.2264690714642867</v>
      </c>
      <c r="S6" s="2"/>
      <c r="T6" s="2" t="s">
        <v>217</v>
      </c>
      <c r="U6" s="2"/>
      <c r="V6" s="2">
        <v>37.337784975899019</v>
      </c>
      <c r="W6" s="2">
        <v>-95.510423591244475</v>
      </c>
      <c r="X6" s="2" t="s">
        <v>218</v>
      </c>
      <c r="Y6" s="2"/>
      <c r="Z6" s="2">
        <v>1628410882716</v>
      </c>
      <c r="AA6" s="2">
        <v>229.08</v>
      </c>
      <c r="AB6" s="2">
        <v>1628411624769</v>
      </c>
      <c r="AC6" s="2">
        <v>19.490436119372024</v>
      </c>
      <c r="AD6" s="2"/>
      <c r="AE6" s="2" t="s">
        <v>217</v>
      </c>
      <c r="AF6" s="2"/>
      <c r="AG6" s="2">
        <v>37.352451629999997</v>
      </c>
      <c r="AH6" s="2">
        <v>-95.530015809999995</v>
      </c>
      <c r="AI6" s="2" t="s">
        <v>218</v>
      </c>
      <c r="AJ6" s="2"/>
      <c r="AK6" s="2">
        <v>1628411589973</v>
      </c>
      <c r="AL6" s="2">
        <v>1</v>
      </c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 t="s">
        <v>219</v>
      </c>
      <c r="BA6" s="2" t="s">
        <v>218</v>
      </c>
      <c r="BB6" s="2" t="s">
        <v>175</v>
      </c>
      <c r="BC6" s="2"/>
      <c r="BD6" s="2"/>
      <c r="BE6" s="2"/>
      <c r="BF6" s="2" t="s">
        <v>176</v>
      </c>
      <c r="BG6" s="2" t="s">
        <v>220</v>
      </c>
      <c r="BH6" s="2" t="s">
        <v>221</v>
      </c>
      <c r="BI6" s="2">
        <v>116</v>
      </c>
      <c r="BJ6" s="2"/>
      <c r="BK6" s="2"/>
      <c r="BL6" s="2"/>
      <c r="BM6" s="2"/>
      <c r="BN6" s="2"/>
      <c r="BO6" s="2"/>
      <c r="BP6" s="2" t="s">
        <v>179</v>
      </c>
      <c r="BQ6" s="2" t="s">
        <v>180</v>
      </c>
      <c r="BR6" s="2" t="s">
        <v>181</v>
      </c>
      <c r="BS6" s="2"/>
      <c r="BT6" s="2" t="s">
        <v>222</v>
      </c>
      <c r="BU6" s="2" t="s">
        <v>223</v>
      </c>
      <c r="BV6" s="2" t="s">
        <v>152</v>
      </c>
      <c r="BW6" s="2" t="s">
        <v>217</v>
      </c>
      <c r="BX6" s="2">
        <v>1628411595314</v>
      </c>
      <c r="BY6" s="2">
        <v>5</v>
      </c>
      <c r="BZ6" s="2">
        <v>242.77948617209961</v>
      </c>
      <c r="CA6" s="2">
        <v>1628410882716</v>
      </c>
      <c r="CB6" s="2"/>
      <c r="CC6" s="2"/>
      <c r="CD6" s="2"/>
      <c r="CE6" s="2"/>
      <c r="CF6" s="2">
        <v>37.337744999545727</v>
      </c>
      <c r="CG6" s="2">
        <v>-95.510501875514194</v>
      </c>
      <c r="CH6" s="2" t="s">
        <v>218</v>
      </c>
      <c r="CI6" s="2"/>
      <c r="CJ6" s="2">
        <v>1628410882716</v>
      </c>
      <c r="CK6" s="2" t="s">
        <v>184</v>
      </c>
      <c r="CL6" s="2" t="s">
        <v>185</v>
      </c>
    </row>
    <row r="7" spans="1:90" x14ac:dyDescent="0.25">
      <c r="A7" s="2" t="s">
        <v>171</v>
      </c>
      <c r="B7" s="2"/>
      <c r="C7" s="2" t="s">
        <v>150</v>
      </c>
      <c r="D7" s="2"/>
      <c r="E7" s="2"/>
      <c r="F7" s="2"/>
      <c r="G7" s="2"/>
      <c r="H7" s="2">
        <v>177.744</v>
      </c>
      <c r="I7" s="2">
        <v>215</v>
      </c>
      <c r="J7" s="2">
        <v>0</v>
      </c>
      <c r="K7" s="2">
        <v>215</v>
      </c>
      <c r="L7" s="2"/>
      <c r="M7" s="2">
        <v>82006</v>
      </c>
      <c r="N7" s="2"/>
      <c r="O7" s="2"/>
      <c r="P7" s="2">
        <v>239.20345158495559</v>
      </c>
      <c r="Q7" s="2">
        <v>1628410898239</v>
      </c>
      <c r="R7" s="2">
        <v>17.254122936368272</v>
      </c>
      <c r="S7" s="2"/>
      <c r="T7" s="2" t="s">
        <v>224</v>
      </c>
      <c r="U7" s="2"/>
      <c r="V7" s="2">
        <v>37.334969705609659</v>
      </c>
      <c r="W7" s="2">
        <v>-95.533947722580564</v>
      </c>
      <c r="X7" s="2" t="s">
        <v>225</v>
      </c>
      <c r="Y7" s="2"/>
      <c r="Z7" s="2">
        <v>1628410886239</v>
      </c>
      <c r="AA7" s="2">
        <v>239.26164028933351</v>
      </c>
      <c r="AB7" s="2">
        <v>1628410964244</v>
      </c>
      <c r="AC7" s="2">
        <v>17.588364012510649</v>
      </c>
      <c r="AD7" s="2"/>
      <c r="AE7" s="2" t="s">
        <v>224</v>
      </c>
      <c r="AF7" s="2"/>
      <c r="AG7" s="2">
        <v>37.33350061678447</v>
      </c>
      <c r="AH7" s="2">
        <v>-95.5347401176669</v>
      </c>
      <c r="AI7" s="2" t="s">
        <v>225</v>
      </c>
      <c r="AJ7" s="2"/>
      <c r="AK7" s="2">
        <v>1628410968245</v>
      </c>
      <c r="AL7" s="2">
        <v>1</v>
      </c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 t="s">
        <v>226</v>
      </c>
      <c r="BA7" s="2" t="s">
        <v>225</v>
      </c>
      <c r="BB7" s="2" t="s">
        <v>189</v>
      </c>
      <c r="BC7" s="2"/>
      <c r="BD7" s="2"/>
      <c r="BE7" s="2"/>
      <c r="BF7" s="2" t="s">
        <v>190</v>
      </c>
      <c r="BG7" s="2" t="s">
        <v>227</v>
      </c>
      <c r="BH7" s="2" t="s">
        <v>228</v>
      </c>
      <c r="BI7" s="2">
        <v>12</v>
      </c>
      <c r="BJ7" s="2"/>
      <c r="BK7" s="2"/>
      <c r="BL7" s="2"/>
      <c r="BM7" s="2"/>
      <c r="BN7" s="2"/>
      <c r="BO7" s="2"/>
      <c r="BP7" s="2" t="s">
        <v>179</v>
      </c>
      <c r="BQ7" s="2" t="s">
        <v>193</v>
      </c>
      <c r="BR7" s="2" t="s">
        <v>194</v>
      </c>
      <c r="BS7" s="2"/>
      <c r="BT7" s="2" t="s">
        <v>229</v>
      </c>
      <c r="BU7" s="2" t="s">
        <v>230</v>
      </c>
      <c r="BV7" s="2" t="s">
        <v>152</v>
      </c>
      <c r="BW7" s="2" t="s">
        <v>224</v>
      </c>
      <c r="BX7" s="2">
        <v>1628410969720</v>
      </c>
      <c r="BY7" s="2">
        <v>6</v>
      </c>
      <c r="BZ7" s="2">
        <v>239.16593305560011</v>
      </c>
      <c r="CA7" s="2">
        <v>1628410882238</v>
      </c>
      <c r="CB7" s="2"/>
      <c r="CC7" s="2"/>
      <c r="CD7" s="2"/>
      <c r="CE7" s="2"/>
      <c r="CF7" s="2">
        <v>37.334929057483144</v>
      </c>
      <c r="CG7" s="2">
        <v>-95.533759381107643</v>
      </c>
      <c r="CH7" s="2" t="s">
        <v>225</v>
      </c>
      <c r="CI7" s="2"/>
      <c r="CJ7" s="2">
        <v>1628410886239</v>
      </c>
      <c r="CK7" s="2" t="s">
        <v>197</v>
      </c>
      <c r="CL7" s="2" t="s">
        <v>198</v>
      </c>
    </row>
    <row r="8" spans="1:90" x14ac:dyDescent="0.25">
      <c r="A8" s="2" t="s">
        <v>171</v>
      </c>
      <c r="B8" s="2"/>
      <c r="C8" s="2" t="s">
        <v>150</v>
      </c>
      <c r="D8" s="2"/>
      <c r="E8" s="2"/>
      <c r="F8" s="2"/>
      <c r="G8" s="2"/>
      <c r="H8" s="2">
        <v>2364.835</v>
      </c>
      <c r="I8" s="2">
        <v>5449</v>
      </c>
      <c r="J8" s="2">
        <v>0</v>
      </c>
      <c r="K8" s="2">
        <v>5449</v>
      </c>
      <c r="L8" s="2"/>
      <c r="M8" s="2">
        <v>687010</v>
      </c>
      <c r="N8" s="2"/>
      <c r="O8" s="2"/>
      <c r="P8" s="2">
        <v>242.90379180037081</v>
      </c>
      <c r="Q8" s="2">
        <v>1628410913272</v>
      </c>
      <c r="R8" s="2">
        <v>8.2264690714642867</v>
      </c>
      <c r="S8" s="2"/>
      <c r="T8" s="2" t="s">
        <v>231</v>
      </c>
      <c r="U8" s="2"/>
      <c r="V8" s="2">
        <v>37.337784975899019</v>
      </c>
      <c r="W8" s="2">
        <v>-95.510423591244475</v>
      </c>
      <c r="X8" s="2" t="s">
        <v>232</v>
      </c>
      <c r="Y8" s="2"/>
      <c r="Z8" s="2">
        <v>1628410891272</v>
      </c>
      <c r="AA8" s="2">
        <v>232.04981030064999</v>
      </c>
      <c r="AB8" s="2">
        <v>1628411599322</v>
      </c>
      <c r="AC8" s="2">
        <v>16.814136354419173</v>
      </c>
      <c r="AD8" s="2"/>
      <c r="AE8" s="2" t="s">
        <v>231</v>
      </c>
      <c r="AF8" s="2"/>
      <c r="AG8" s="2">
        <v>37.352449871446879</v>
      </c>
      <c r="AH8" s="2">
        <v>-95.529797893254525</v>
      </c>
      <c r="AI8" s="2" t="s">
        <v>232</v>
      </c>
      <c r="AJ8" s="2"/>
      <c r="AK8" s="2">
        <v>1628411578282</v>
      </c>
      <c r="AL8" s="2">
        <v>1</v>
      </c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 t="s">
        <v>233</v>
      </c>
      <c r="BA8" s="2" t="s">
        <v>232</v>
      </c>
      <c r="BB8" s="2" t="s">
        <v>175</v>
      </c>
      <c r="BC8" s="2"/>
      <c r="BD8" s="2"/>
      <c r="BE8" s="2"/>
      <c r="BF8" s="2" t="s">
        <v>176</v>
      </c>
      <c r="BG8" s="2" t="s">
        <v>234</v>
      </c>
      <c r="BH8" s="2" t="s">
        <v>235</v>
      </c>
      <c r="BI8" s="2">
        <v>115</v>
      </c>
      <c r="BJ8" s="2"/>
      <c r="BK8" s="2"/>
      <c r="BL8" s="2"/>
      <c r="BM8" s="2"/>
      <c r="BN8" s="2"/>
      <c r="BO8" s="2"/>
      <c r="BP8" s="2" t="s">
        <v>179</v>
      </c>
      <c r="BQ8" s="2" t="s">
        <v>180</v>
      </c>
      <c r="BR8" s="2" t="s">
        <v>181</v>
      </c>
      <c r="BS8" s="2"/>
      <c r="BT8" s="2" t="s">
        <v>236</v>
      </c>
      <c r="BU8" s="2" t="s">
        <v>237</v>
      </c>
      <c r="BV8" s="2" t="s">
        <v>152</v>
      </c>
      <c r="BW8" s="2" t="s">
        <v>231</v>
      </c>
      <c r="BX8" s="2">
        <v>1628411584085</v>
      </c>
      <c r="BY8" s="2">
        <v>7</v>
      </c>
      <c r="BZ8" s="2">
        <v>242.77948617209961</v>
      </c>
      <c r="CA8" s="2">
        <v>1628410891271</v>
      </c>
      <c r="CB8" s="2"/>
      <c r="CC8" s="2"/>
      <c r="CD8" s="2"/>
      <c r="CE8" s="2"/>
      <c r="CF8" s="2">
        <v>37.337744999545727</v>
      </c>
      <c r="CG8" s="2">
        <v>-95.510501875514194</v>
      </c>
      <c r="CH8" s="2" t="s">
        <v>232</v>
      </c>
      <c r="CI8" s="2"/>
      <c r="CJ8" s="2">
        <v>1628410891272</v>
      </c>
      <c r="CK8" s="2" t="s">
        <v>184</v>
      </c>
      <c r="CL8" s="2" t="s">
        <v>185</v>
      </c>
    </row>
    <row r="9" spans="1:90" x14ac:dyDescent="0.25">
      <c r="A9" s="2" t="s">
        <v>171</v>
      </c>
      <c r="B9" s="2">
        <v>1628410952145</v>
      </c>
      <c r="C9" s="2" t="s">
        <v>150</v>
      </c>
      <c r="D9" s="2"/>
      <c r="E9" s="2"/>
      <c r="F9" s="2"/>
      <c r="G9" s="2"/>
      <c r="H9" s="2">
        <v>70.016999999999996</v>
      </c>
      <c r="I9" s="2">
        <v>78</v>
      </c>
      <c r="J9" s="2">
        <v>0</v>
      </c>
      <c r="K9" s="2">
        <v>78</v>
      </c>
      <c r="L9" s="2"/>
      <c r="M9" s="2">
        <v>38002</v>
      </c>
      <c r="N9" s="2"/>
      <c r="O9" s="2">
        <v>1628410952145</v>
      </c>
      <c r="P9" s="2">
        <v>243.06815661925097</v>
      </c>
      <c r="Q9" s="2">
        <v>1628410926143</v>
      </c>
      <c r="R9" s="2">
        <v>3.9284646840453061</v>
      </c>
      <c r="S9" s="2"/>
      <c r="T9" s="2" t="s">
        <v>238</v>
      </c>
      <c r="U9" s="2"/>
      <c r="V9" s="2">
        <v>37.337667475217366</v>
      </c>
      <c r="W9" s="2">
        <v>-95.509743559277496</v>
      </c>
      <c r="X9" s="2" t="s">
        <v>239</v>
      </c>
      <c r="Y9" s="2"/>
      <c r="Z9" s="2">
        <v>1628410914143</v>
      </c>
      <c r="AA9" s="2">
        <v>242.16689180453045</v>
      </c>
      <c r="AB9" s="2">
        <v>1628410950145</v>
      </c>
      <c r="AC9" s="2">
        <v>19.859073386652835</v>
      </c>
      <c r="AD9" s="2"/>
      <c r="AE9" s="2" t="s">
        <v>238</v>
      </c>
      <c r="AF9" s="2"/>
      <c r="AG9" s="2">
        <v>37.33716243579876</v>
      </c>
      <c r="AH9" s="2">
        <v>-95.51021644856506</v>
      </c>
      <c r="AI9" s="2" t="s">
        <v>239</v>
      </c>
      <c r="AJ9" s="2"/>
      <c r="AK9" s="2">
        <v>1628410952145</v>
      </c>
      <c r="AL9" s="2">
        <v>1</v>
      </c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 t="s">
        <v>240</v>
      </c>
      <c r="BA9" s="2" t="s">
        <v>239</v>
      </c>
      <c r="BB9" s="2" t="s">
        <v>189</v>
      </c>
      <c r="BC9" s="2"/>
      <c r="BD9" s="2"/>
      <c r="BE9" s="2"/>
      <c r="BF9" s="2" t="s">
        <v>190</v>
      </c>
      <c r="BG9" s="2" t="s">
        <v>241</v>
      </c>
      <c r="BH9" s="2" t="s">
        <v>242</v>
      </c>
      <c r="BI9" s="2">
        <v>5</v>
      </c>
      <c r="BJ9" s="2"/>
      <c r="BK9" s="2"/>
      <c r="BL9" s="2"/>
      <c r="BM9" s="2"/>
      <c r="BN9" s="2"/>
      <c r="BO9" s="2"/>
      <c r="BP9" s="2" t="s">
        <v>179</v>
      </c>
      <c r="BQ9" s="2" t="s">
        <v>193</v>
      </c>
      <c r="BR9" s="2" t="s">
        <v>194</v>
      </c>
      <c r="BS9" s="2"/>
      <c r="BT9" s="2" t="s">
        <v>243</v>
      </c>
      <c r="BU9" s="2" t="s">
        <v>244</v>
      </c>
      <c r="BV9" s="2" t="s">
        <v>152</v>
      </c>
      <c r="BW9" s="2" t="s">
        <v>238</v>
      </c>
      <c r="BX9" s="2">
        <v>1628410955794</v>
      </c>
      <c r="BY9" s="2">
        <v>8</v>
      </c>
      <c r="BZ9" s="2">
        <v>243.13469680577921</v>
      </c>
      <c r="CA9" s="2">
        <v>1628410914143</v>
      </c>
      <c r="CB9" s="2"/>
      <c r="CC9" s="2"/>
      <c r="CD9" s="2"/>
      <c r="CE9" s="2"/>
      <c r="CF9" s="2">
        <v>37.337683620081776</v>
      </c>
      <c r="CG9" s="2">
        <v>-95.509704042092281</v>
      </c>
      <c r="CH9" s="2" t="s">
        <v>239</v>
      </c>
      <c r="CI9" s="2"/>
      <c r="CJ9" s="2">
        <v>1628410914143</v>
      </c>
      <c r="CK9" s="2" t="s">
        <v>215</v>
      </c>
      <c r="CL9" s="2" t="s">
        <v>216</v>
      </c>
    </row>
    <row r="10" spans="1:90" x14ac:dyDescent="0.25">
      <c r="A10" s="2" t="s">
        <v>171</v>
      </c>
      <c r="B10" s="2"/>
      <c r="C10" s="2" t="s">
        <v>150</v>
      </c>
      <c r="D10" s="2"/>
      <c r="E10" s="2"/>
      <c r="F10" s="2"/>
      <c r="G10" s="2"/>
      <c r="H10" s="2">
        <v>177.744</v>
      </c>
      <c r="I10" s="2">
        <v>215</v>
      </c>
      <c r="J10" s="2">
        <v>0</v>
      </c>
      <c r="K10" s="2">
        <v>215</v>
      </c>
      <c r="L10" s="2"/>
      <c r="M10" s="2">
        <v>82006</v>
      </c>
      <c r="N10" s="2"/>
      <c r="O10" s="2"/>
      <c r="P10" s="2">
        <v>239.20345158495559</v>
      </c>
      <c r="Q10" s="2">
        <v>1628410928607</v>
      </c>
      <c r="R10" s="2">
        <v>17.254122936368272</v>
      </c>
      <c r="S10" s="2"/>
      <c r="T10" s="2" t="s">
        <v>245</v>
      </c>
      <c r="U10" s="2"/>
      <c r="V10" s="2">
        <v>37.334969705609659</v>
      </c>
      <c r="W10" s="2">
        <v>-95.533947722580564</v>
      </c>
      <c r="X10" s="2" t="s">
        <v>246</v>
      </c>
      <c r="Y10" s="2"/>
      <c r="Z10" s="2">
        <v>1628410916606</v>
      </c>
      <c r="AA10" s="2">
        <v>239.26164028933351</v>
      </c>
      <c r="AB10" s="2">
        <v>1628410994612</v>
      </c>
      <c r="AC10" s="2">
        <v>17.588364012510649</v>
      </c>
      <c r="AD10" s="2"/>
      <c r="AE10" s="2" t="s">
        <v>245</v>
      </c>
      <c r="AF10" s="2"/>
      <c r="AG10" s="2">
        <v>37.33350061678447</v>
      </c>
      <c r="AH10" s="2">
        <v>-95.5347401176669</v>
      </c>
      <c r="AI10" s="2" t="s">
        <v>246</v>
      </c>
      <c r="AJ10" s="2"/>
      <c r="AK10" s="2">
        <v>1628410998612</v>
      </c>
      <c r="AL10" s="2">
        <v>1</v>
      </c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 t="s">
        <v>247</v>
      </c>
      <c r="BA10" s="2" t="s">
        <v>246</v>
      </c>
      <c r="BB10" s="2" t="s">
        <v>202</v>
      </c>
      <c r="BC10" s="2"/>
      <c r="BD10" s="2"/>
      <c r="BE10" s="2"/>
      <c r="BF10" s="2" t="s">
        <v>203</v>
      </c>
      <c r="BG10" s="2" t="s">
        <v>248</v>
      </c>
      <c r="BH10" s="2" t="s">
        <v>249</v>
      </c>
      <c r="BI10" s="2">
        <v>12</v>
      </c>
      <c r="BJ10" s="2"/>
      <c r="BK10" s="2"/>
      <c r="BL10" s="2"/>
      <c r="BM10" s="2"/>
      <c r="BN10" s="2"/>
      <c r="BO10" s="2"/>
      <c r="BP10" s="2" t="s">
        <v>179</v>
      </c>
      <c r="BQ10" s="2" t="s">
        <v>193</v>
      </c>
      <c r="BR10" s="2" t="s">
        <v>194</v>
      </c>
      <c r="BS10" s="2"/>
      <c r="BT10" s="2" t="s">
        <v>250</v>
      </c>
      <c r="BU10" s="2" t="s">
        <v>251</v>
      </c>
      <c r="BV10" s="2" t="s">
        <v>152</v>
      </c>
      <c r="BW10" s="2" t="s">
        <v>245</v>
      </c>
      <c r="BX10" s="2">
        <v>1628411000165</v>
      </c>
      <c r="BY10" s="2">
        <v>9</v>
      </c>
      <c r="BZ10" s="2">
        <v>239.16593305560011</v>
      </c>
      <c r="CA10" s="2">
        <v>1628410912606</v>
      </c>
      <c r="CB10" s="2"/>
      <c r="CC10" s="2"/>
      <c r="CD10" s="2"/>
      <c r="CE10" s="2"/>
      <c r="CF10" s="2">
        <v>37.334929057483144</v>
      </c>
      <c r="CG10" s="2">
        <v>-95.533759381107643</v>
      </c>
      <c r="CH10" s="2" t="s">
        <v>246</v>
      </c>
      <c r="CI10" s="2"/>
      <c r="CJ10" s="2">
        <v>1628410916606</v>
      </c>
      <c r="CK10" s="2" t="s">
        <v>197</v>
      </c>
      <c r="CL10" s="2" t="s">
        <v>198</v>
      </c>
    </row>
    <row r="11" spans="1:90" x14ac:dyDescent="0.25">
      <c r="A11" s="2" t="s">
        <v>171</v>
      </c>
      <c r="B11" s="2"/>
      <c r="C11" s="2" t="s">
        <v>150</v>
      </c>
      <c r="D11" s="2"/>
      <c r="E11" s="2"/>
      <c r="F11" s="2"/>
      <c r="G11" s="2"/>
      <c r="H11" s="2">
        <v>2364.835</v>
      </c>
      <c r="I11" s="2">
        <v>5449</v>
      </c>
      <c r="J11" s="2">
        <v>0</v>
      </c>
      <c r="K11" s="2">
        <v>5449</v>
      </c>
      <c r="L11" s="2"/>
      <c r="M11" s="2">
        <v>728789</v>
      </c>
      <c r="N11" s="2"/>
      <c r="O11" s="2"/>
      <c r="P11" s="2">
        <v>242.90379180037081</v>
      </c>
      <c r="Q11" s="2">
        <v>1628410939288</v>
      </c>
      <c r="R11" s="2">
        <v>8.2264690714642867</v>
      </c>
      <c r="S11" s="2"/>
      <c r="T11" s="2" t="s">
        <v>252</v>
      </c>
      <c r="U11" s="2"/>
      <c r="V11" s="2">
        <v>37.337784975899019</v>
      </c>
      <c r="W11" s="2">
        <v>-95.510423591244475</v>
      </c>
      <c r="X11" s="2" t="s">
        <v>253</v>
      </c>
      <c r="Y11" s="2"/>
      <c r="Z11" s="2">
        <v>1628410917287</v>
      </c>
      <c r="AA11" s="2">
        <v>232.04981030064999</v>
      </c>
      <c r="AB11" s="2">
        <v>1628411625338</v>
      </c>
      <c r="AC11" s="2">
        <v>16.814136354419173</v>
      </c>
      <c r="AD11" s="2"/>
      <c r="AE11" s="2" t="s">
        <v>252</v>
      </c>
      <c r="AF11" s="2"/>
      <c r="AG11" s="2">
        <v>37.352449871446879</v>
      </c>
      <c r="AH11" s="2">
        <v>-95.529797893254525</v>
      </c>
      <c r="AI11" s="2" t="s">
        <v>253</v>
      </c>
      <c r="AJ11" s="2"/>
      <c r="AK11" s="2">
        <v>1628411646076</v>
      </c>
      <c r="AL11" s="2">
        <v>1</v>
      </c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 t="s">
        <v>254</v>
      </c>
      <c r="BA11" s="2" t="s">
        <v>253</v>
      </c>
      <c r="BB11" s="2" t="s">
        <v>175</v>
      </c>
      <c r="BC11" s="2"/>
      <c r="BD11" s="2"/>
      <c r="BE11" s="2"/>
      <c r="BF11" s="2" t="s">
        <v>176</v>
      </c>
      <c r="BG11" s="2" t="s">
        <v>255</v>
      </c>
      <c r="BH11" s="2" t="s">
        <v>256</v>
      </c>
      <c r="BI11" s="2">
        <v>115</v>
      </c>
      <c r="BJ11" s="2"/>
      <c r="BK11" s="2"/>
      <c r="BL11" s="2"/>
      <c r="BM11" s="2"/>
      <c r="BN11" s="2"/>
      <c r="BO11" s="2"/>
      <c r="BP11" s="2" t="s">
        <v>179</v>
      </c>
      <c r="BQ11" s="2" t="s">
        <v>180</v>
      </c>
      <c r="BR11" s="2" t="s">
        <v>181</v>
      </c>
      <c r="BS11" s="2"/>
      <c r="BT11" s="2" t="s">
        <v>257</v>
      </c>
      <c r="BU11" s="2" t="s">
        <v>258</v>
      </c>
      <c r="BV11" s="2" t="s">
        <v>152</v>
      </c>
      <c r="BW11" s="2" t="s">
        <v>252</v>
      </c>
      <c r="BX11" s="2">
        <v>1628411651286</v>
      </c>
      <c r="BY11" s="2">
        <v>10</v>
      </c>
      <c r="BZ11" s="2">
        <v>242.77948617209961</v>
      </c>
      <c r="CA11" s="2">
        <v>1628410917287</v>
      </c>
      <c r="CB11" s="2"/>
      <c r="CC11" s="2"/>
      <c r="CD11" s="2"/>
      <c r="CE11" s="2"/>
      <c r="CF11" s="2">
        <v>37.337744999545727</v>
      </c>
      <c r="CG11" s="2">
        <v>-95.510501875514194</v>
      </c>
      <c r="CH11" s="2" t="s">
        <v>253</v>
      </c>
      <c r="CI11" s="2"/>
      <c r="CJ11" s="2">
        <v>1628410917287</v>
      </c>
      <c r="CK11" s="2" t="s">
        <v>184</v>
      </c>
      <c r="CL11" s="2" t="s">
        <v>185</v>
      </c>
    </row>
    <row r="12" spans="1:90" x14ac:dyDescent="0.25">
      <c r="A12" s="2" t="s">
        <v>171</v>
      </c>
      <c r="B12" s="2"/>
      <c r="C12" s="2" t="s">
        <v>150</v>
      </c>
      <c r="D12" s="2"/>
      <c r="E12" s="2"/>
      <c r="F12" s="2"/>
      <c r="G12" s="2"/>
      <c r="H12" s="2">
        <v>2364.835</v>
      </c>
      <c r="I12" s="2">
        <v>5449</v>
      </c>
      <c r="J12" s="2">
        <v>0</v>
      </c>
      <c r="K12" s="2">
        <v>5449</v>
      </c>
      <c r="L12" s="2"/>
      <c r="M12" s="2">
        <v>709540</v>
      </c>
      <c r="N12" s="2"/>
      <c r="O12" s="2"/>
      <c r="P12" s="2">
        <v>242.90379180037081</v>
      </c>
      <c r="Q12" s="2">
        <v>1628410941765</v>
      </c>
      <c r="R12" s="2">
        <v>8.2264690714642867</v>
      </c>
      <c r="S12" s="2"/>
      <c r="T12" s="2" t="s">
        <v>259</v>
      </c>
      <c r="U12" s="2"/>
      <c r="V12" s="2">
        <v>37.337784975899019</v>
      </c>
      <c r="W12" s="2">
        <v>-95.510423591244475</v>
      </c>
      <c r="X12" s="2" t="s">
        <v>260</v>
      </c>
      <c r="Y12" s="2"/>
      <c r="Z12" s="2">
        <v>1628410919765</v>
      </c>
      <c r="AA12" s="2">
        <v>232.04981030064999</v>
      </c>
      <c r="AB12" s="2">
        <v>1628411627817</v>
      </c>
      <c r="AC12" s="2">
        <v>16.814136354419173</v>
      </c>
      <c r="AD12" s="2"/>
      <c r="AE12" s="2" t="s">
        <v>259</v>
      </c>
      <c r="AF12" s="2"/>
      <c r="AG12" s="2">
        <v>37.352449871446879</v>
      </c>
      <c r="AH12" s="2">
        <v>-95.529797893254525</v>
      </c>
      <c r="AI12" s="2" t="s">
        <v>260</v>
      </c>
      <c r="AJ12" s="2"/>
      <c r="AK12" s="2">
        <v>1628411629305</v>
      </c>
      <c r="AL12" s="2">
        <v>1</v>
      </c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 t="s">
        <v>261</v>
      </c>
      <c r="BA12" s="2" t="s">
        <v>260</v>
      </c>
      <c r="BB12" s="2" t="s">
        <v>175</v>
      </c>
      <c r="BC12" s="2"/>
      <c r="BD12" s="2"/>
      <c r="BE12" s="2"/>
      <c r="BF12" s="2" t="s">
        <v>176</v>
      </c>
      <c r="BG12" s="2" t="s">
        <v>262</v>
      </c>
      <c r="BH12" s="2" t="s">
        <v>263</v>
      </c>
      <c r="BI12" s="2">
        <v>115</v>
      </c>
      <c r="BJ12" s="2"/>
      <c r="BK12" s="2"/>
      <c r="BL12" s="2"/>
      <c r="BM12" s="2"/>
      <c r="BN12" s="2"/>
      <c r="BO12" s="2"/>
      <c r="BP12" s="2" t="s">
        <v>179</v>
      </c>
      <c r="BQ12" s="2" t="s">
        <v>180</v>
      </c>
      <c r="BR12" s="2" t="s">
        <v>181</v>
      </c>
      <c r="BS12" s="2"/>
      <c r="BT12" s="2" t="s">
        <v>264</v>
      </c>
      <c r="BU12" s="2" t="s">
        <v>265</v>
      </c>
      <c r="BV12" s="2" t="s">
        <v>152</v>
      </c>
      <c r="BW12" s="2" t="s">
        <v>259</v>
      </c>
      <c r="BX12" s="2">
        <v>1628411633761</v>
      </c>
      <c r="BY12" s="2">
        <v>11</v>
      </c>
      <c r="BZ12" s="2">
        <v>242.77948617209961</v>
      </c>
      <c r="CA12" s="2">
        <v>1628410919765</v>
      </c>
      <c r="CB12" s="2"/>
      <c r="CC12" s="2"/>
      <c r="CD12" s="2"/>
      <c r="CE12" s="2"/>
      <c r="CF12" s="2">
        <v>37.337744999545727</v>
      </c>
      <c r="CG12" s="2">
        <v>-95.510501875514194</v>
      </c>
      <c r="CH12" s="2" t="s">
        <v>260</v>
      </c>
      <c r="CI12" s="2"/>
      <c r="CJ12" s="2">
        <v>1628410919765</v>
      </c>
      <c r="CK12" s="2" t="s">
        <v>184</v>
      </c>
      <c r="CL12" s="2" t="s">
        <v>185</v>
      </c>
    </row>
    <row r="13" spans="1:90" x14ac:dyDescent="0.25">
      <c r="A13" s="2" t="s">
        <v>171</v>
      </c>
      <c r="B13" s="2"/>
      <c r="C13" s="2" t="s">
        <v>150</v>
      </c>
      <c r="D13" s="2"/>
      <c r="E13" s="2"/>
      <c r="F13" s="2"/>
      <c r="G13" s="2"/>
      <c r="H13" s="2">
        <v>2362.902</v>
      </c>
      <c r="I13" s="2">
        <v>5467</v>
      </c>
      <c r="J13" s="2">
        <v>0</v>
      </c>
      <c r="K13" s="2">
        <v>5467</v>
      </c>
      <c r="L13" s="2"/>
      <c r="M13" s="2">
        <v>651705</v>
      </c>
      <c r="N13" s="2"/>
      <c r="O13" s="2"/>
      <c r="P13" s="2">
        <v>242.77948617209961</v>
      </c>
      <c r="Q13" s="2">
        <v>1628410933484</v>
      </c>
      <c r="R13" s="2">
        <v>17.979967860278595</v>
      </c>
      <c r="S13" s="2"/>
      <c r="T13" s="2" t="s">
        <v>266</v>
      </c>
      <c r="U13" s="2"/>
      <c r="V13" s="2">
        <v>37.337744999545727</v>
      </c>
      <c r="W13" s="2">
        <v>-95.510501875514194</v>
      </c>
      <c r="X13" s="2" t="s">
        <v>267</v>
      </c>
      <c r="Y13" s="2"/>
      <c r="Z13" s="2">
        <v>1628410933484</v>
      </c>
      <c r="AA13" s="2">
        <v>232.04981030064999</v>
      </c>
      <c r="AB13" s="2">
        <v>1628411641541</v>
      </c>
      <c r="AC13" s="2">
        <v>16.814136354419173</v>
      </c>
      <c r="AD13" s="2"/>
      <c r="AE13" s="2" t="s">
        <v>266</v>
      </c>
      <c r="AF13" s="2"/>
      <c r="AG13" s="2">
        <v>37.352449871446879</v>
      </c>
      <c r="AH13" s="2">
        <v>-95.529797893254525</v>
      </c>
      <c r="AI13" s="2" t="s">
        <v>267</v>
      </c>
      <c r="AJ13" s="2"/>
      <c r="AK13" s="2">
        <v>1628411585189</v>
      </c>
      <c r="AL13" s="2">
        <v>1</v>
      </c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 t="s">
        <v>268</v>
      </c>
      <c r="BA13" s="2" t="s">
        <v>267</v>
      </c>
      <c r="BB13" s="2" t="s">
        <v>175</v>
      </c>
      <c r="BC13" s="2"/>
      <c r="BD13" s="2"/>
      <c r="BE13" s="2"/>
      <c r="BF13" s="2" t="s">
        <v>176</v>
      </c>
      <c r="BG13" s="2" t="s">
        <v>269</v>
      </c>
      <c r="BH13" s="2" t="s">
        <v>270</v>
      </c>
      <c r="BI13" s="2">
        <v>116</v>
      </c>
      <c r="BJ13" s="2"/>
      <c r="BK13" s="2"/>
      <c r="BL13" s="2"/>
      <c r="BM13" s="2"/>
      <c r="BN13" s="2"/>
      <c r="BO13" s="2"/>
      <c r="BP13" s="2" t="s">
        <v>179</v>
      </c>
      <c r="BQ13" s="2" t="s">
        <v>180</v>
      </c>
      <c r="BR13" s="2" t="s">
        <v>181</v>
      </c>
      <c r="BS13" s="2"/>
      <c r="BT13" s="2" t="s">
        <v>271</v>
      </c>
      <c r="BU13" s="2" t="s">
        <v>272</v>
      </c>
      <c r="BV13" s="2" t="s">
        <v>152</v>
      </c>
      <c r="BW13" s="2" t="s">
        <v>266</v>
      </c>
      <c r="BX13" s="2">
        <v>1628411588890</v>
      </c>
      <c r="BY13" s="2">
        <v>12</v>
      </c>
      <c r="BZ13" s="2">
        <v>242.50987153952423</v>
      </c>
      <c r="CA13" s="2">
        <v>1628410927484</v>
      </c>
      <c r="CB13" s="2"/>
      <c r="CC13" s="2"/>
      <c r="CD13" s="2"/>
      <c r="CE13" s="2"/>
      <c r="CF13" s="2">
        <v>37.33773321738628</v>
      </c>
      <c r="CG13" s="2">
        <v>-95.510704686381203</v>
      </c>
      <c r="CH13" s="2" t="s">
        <v>267</v>
      </c>
      <c r="CI13" s="2"/>
      <c r="CJ13" s="2">
        <v>1628410933484</v>
      </c>
      <c r="CK13" s="2" t="s">
        <v>184</v>
      </c>
      <c r="CL13" s="2" t="s">
        <v>185</v>
      </c>
    </row>
    <row r="14" spans="1:90" x14ac:dyDescent="0.25">
      <c r="A14" s="2" t="s">
        <v>171</v>
      </c>
      <c r="B14" s="2">
        <v>1628410975587</v>
      </c>
      <c r="C14" s="2" t="s">
        <v>150</v>
      </c>
      <c r="D14" s="2"/>
      <c r="E14" s="2"/>
      <c r="F14" s="2"/>
      <c r="G14" s="2"/>
      <c r="H14" s="2">
        <v>73.563999999999993</v>
      </c>
      <c r="I14" s="2">
        <v>96</v>
      </c>
      <c r="J14" s="2">
        <v>0</v>
      </c>
      <c r="K14" s="2">
        <v>96</v>
      </c>
      <c r="L14" s="2"/>
      <c r="M14" s="2">
        <v>38002</v>
      </c>
      <c r="N14" s="2"/>
      <c r="O14" s="2">
        <v>1628410975587</v>
      </c>
      <c r="P14" s="2">
        <v>243.13469680577921</v>
      </c>
      <c r="Q14" s="2">
        <v>1628410937585</v>
      </c>
      <c r="R14" s="2">
        <v>17.979962265698024</v>
      </c>
      <c r="S14" s="2"/>
      <c r="T14" s="2" t="s">
        <v>273</v>
      </c>
      <c r="U14" s="2"/>
      <c r="V14" s="2">
        <v>37.337683620081776</v>
      </c>
      <c r="W14" s="2">
        <v>-95.509704042092281</v>
      </c>
      <c r="X14" s="2" t="s">
        <v>274</v>
      </c>
      <c r="Y14" s="2"/>
      <c r="Z14" s="2">
        <v>1628410937585</v>
      </c>
      <c r="AA14" s="2">
        <v>242.16689180453045</v>
      </c>
      <c r="AB14" s="2">
        <v>1628410973587</v>
      </c>
      <c r="AC14" s="2">
        <v>19.859073386652835</v>
      </c>
      <c r="AD14" s="2"/>
      <c r="AE14" s="2" t="s">
        <v>273</v>
      </c>
      <c r="AF14" s="2"/>
      <c r="AG14" s="2">
        <v>37.33716243579876</v>
      </c>
      <c r="AH14" s="2">
        <v>-95.51021644856506</v>
      </c>
      <c r="AI14" s="2" t="s">
        <v>274</v>
      </c>
      <c r="AJ14" s="2"/>
      <c r="AK14" s="2">
        <v>1628410975587</v>
      </c>
      <c r="AL14" s="2">
        <v>1</v>
      </c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 t="s">
        <v>275</v>
      </c>
      <c r="BA14" s="2" t="s">
        <v>274</v>
      </c>
      <c r="BB14" s="2" t="s">
        <v>189</v>
      </c>
      <c r="BC14" s="2"/>
      <c r="BD14" s="2"/>
      <c r="BE14" s="2"/>
      <c r="BF14" s="2" t="s">
        <v>190</v>
      </c>
      <c r="BG14" s="2" t="s">
        <v>276</v>
      </c>
      <c r="BH14" s="2" t="s">
        <v>277</v>
      </c>
      <c r="BI14" s="2">
        <v>6</v>
      </c>
      <c r="BJ14" s="2"/>
      <c r="BK14" s="2"/>
      <c r="BL14" s="2"/>
      <c r="BM14" s="2"/>
      <c r="BN14" s="2"/>
      <c r="BO14" s="2"/>
      <c r="BP14" s="2" t="s">
        <v>179</v>
      </c>
      <c r="BQ14" s="2" t="s">
        <v>193</v>
      </c>
      <c r="BR14" s="2" t="s">
        <v>194</v>
      </c>
      <c r="BS14" s="2"/>
      <c r="BT14" s="2" t="s">
        <v>278</v>
      </c>
      <c r="BU14" s="2" t="s">
        <v>279</v>
      </c>
      <c r="BV14" s="2" t="s">
        <v>152</v>
      </c>
      <c r="BW14" s="2" t="s">
        <v>273</v>
      </c>
      <c r="BX14" s="2">
        <v>1628410977728</v>
      </c>
      <c r="BY14" s="2">
        <v>13</v>
      </c>
      <c r="BZ14" s="2">
        <v>243.17387872042161</v>
      </c>
      <c r="CA14" s="2">
        <v>1628410931585</v>
      </c>
      <c r="CB14" s="2"/>
      <c r="CC14" s="2"/>
      <c r="CD14" s="2"/>
      <c r="CE14" s="2"/>
      <c r="CF14" s="2">
        <v>37.337833086025498</v>
      </c>
      <c r="CG14" s="2">
        <v>-95.509626448840663</v>
      </c>
      <c r="CH14" s="2" t="s">
        <v>274</v>
      </c>
      <c r="CI14" s="2"/>
      <c r="CJ14" s="2">
        <v>1628410937585</v>
      </c>
      <c r="CK14" s="2" t="s">
        <v>215</v>
      </c>
      <c r="CL14" s="2" t="s">
        <v>216</v>
      </c>
    </row>
    <row r="15" spans="1:90" x14ac:dyDescent="0.25">
      <c r="A15" s="2" t="s">
        <v>171</v>
      </c>
      <c r="B15" s="2"/>
      <c r="C15" s="2" t="s">
        <v>150</v>
      </c>
      <c r="D15" s="2"/>
      <c r="E15" s="2"/>
      <c r="F15" s="2"/>
      <c r="G15" s="2"/>
      <c r="H15" s="2">
        <v>177.744</v>
      </c>
      <c r="I15" s="2">
        <v>215</v>
      </c>
      <c r="J15" s="2">
        <v>0</v>
      </c>
      <c r="K15" s="2">
        <v>215</v>
      </c>
      <c r="L15" s="2"/>
      <c r="M15" s="2">
        <v>52049</v>
      </c>
      <c r="N15" s="2"/>
      <c r="O15" s="2"/>
      <c r="P15" s="2">
        <v>239.20345158495559</v>
      </c>
      <c r="Q15" s="2">
        <v>1628410951585</v>
      </c>
      <c r="R15" s="2">
        <v>17.254122936368272</v>
      </c>
      <c r="S15" s="2"/>
      <c r="T15" s="2" t="s">
        <v>280</v>
      </c>
      <c r="U15" s="2"/>
      <c r="V15" s="2">
        <v>37.334969705609659</v>
      </c>
      <c r="W15" s="2">
        <v>-95.533947722580564</v>
      </c>
      <c r="X15" s="2" t="s">
        <v>281</v>
      </c>
      <c r="Y15" s="2"/>
      <c r="Z15" s="2">
        <v>1628410939585</v>
      </c>
      <c r="AA15" s="2">
        <v>239.26164028933351</v>
      </c>
      <c r="AB15" s="2">
        <v>1628411017590</v>
      </c>
      <c r="AC15" s="2">
        <v>17.588364012510649</v>
      </c>
      <c r="AD15" s="2"/>
      <c r="AE15" s="2" t="s">
        <v>280</v>
      </c>
      <c r="AF15" s="2"/>
      <c r="AG15" s="2">
        <v>37.33350061678447</v>
      </c>
      <c r="AH15" s="2">
        <v>-95.5347401176669</v>
      </c>
      <c r="AI15" s="2" t="s">
        <v>281</v>
      </c>
      <c r="AJ15" s="2"/>
      <c r="AK15" s="2">
        <v>1628410991634</v>
      </c>
      <c r="AL15" s="2">
        <v>1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 t="s">
        <v>282</v>
      </c>
      <c r="BA15" s="2" t="s">
        <v>281</v>
      </c>
      <c r="BB15" s="2" t="s">
        <v>202</v>
      </c>
      <c r="BC15" s="2"/>
      <c r="BD15" s="2"/>
      <c r="BE15" s="2"/>
      <c r="BF15" s="2" t="s">
        <v>203</v>
      </c>
      <c r="BG15" s="2" t="s">
        <v>283</v>
      </c>
      <c r="BH15" s="2" t="s">
        <v>284</v>
      </c>
      <c r="BI15" s="2">
        <v>12</v>
      </c>
      <c r="BJ15" s="2"/>
      <c r="BK15" s="2"/>
      <c r="BL15" s="2"/>
      <c r="BM15" s="2"/>
      <c r="BN15" s="2"/>
      <c r="BO15" s="2"/>
      <c r="BP15" s="2" t="s">
        <v>179</v>
      </c>
      <c r="BQ15" s="2" t="s">
        <v>285</v>
      </c>
      <c r="BR15" s="2" t="s">
        <v>286</v>
      </c>
      <c r="BS15" s="2"/>
      <c r="BT15" s="2" t="s">
        <v>287</v>
      </c>
      <c r="BU15" s="2" t="s">
        <v>288</v>
      </c>
      <c r="BV15" s="2" t="s">
        <v>152</v>
      </c>
      <c r="BW15" s="2" t="s">
        <v>280</v>
      </c>
      <c r="BX15" s="2">
        <v>1628411000155</v>
      </c>
      <c r="BY15" s="2">
        <v>14</v>
      </c>
      <c r="BZ15" s="2">
        <v>239.16593305560011</v>
      </c>
      <c r="CA15" s="2">
        <v>1628410935585</v>
      </c>
      <c r="CB15" s="2"/>
      <c r="CC15" s="2"/>
      <c r="CD15" s="2"/>
      <c r="CE15" s="2"/>
      <c r="CF15" s="2">
        <v>37.334929057483144</v>
      </c>
      <c r="CG15" s="2">
        <v>-95.533759381107643</v>
      </c>
      <c r="CH15" s="2" t="s">
        <v>281</v>
      </c>
      <c r="CI15" s="2"/>
      <c r="CJ15" s="2">
        <v>1628410939585</v>
      </c>
      <c r="CK15" s="2" t="s">
        <v>197</v>
      </c>
      <c r="CL15" s="2" t="s">
        <v>198</v>
      </c>
    </row>
    <row r="16" spans="1:90" x14ac:dyDescent="0.25">
      <c r="A16" s="2" t="s">
        <v>171</v>
      </c>
      <c r="B16" s="2">
        <v>1628410989970</v>
      </c>
      <c r="C16" s="2" t="s">
        <v>150</v>
      </c>
      <c r="D16" s="2"/>
      <c r="E16" s="2"/>
      <c r="F16" s="2"/>
      <c r="G16" s="2"/>
      <c r="H16" s="2">
        <v>70.016999999999996</v>
      </c>
      <c r="I16" s="2">
        <v>78</v>
      </c>
      <c r="J16" s="2">
        <v>0</v>
      </c>
      <c r="K16" s="2">
        <v>78</v>
      </c>
      <c r="L16" s="2"/>
      <c r="M16" s="2">
        <v>38002</v>
      </c>
      <c r="N16" s="2"/>
      <c r="O16" s="2">
        <v>1628410989970</v>
      </c>
      <c r="P16" s="2">
        <v>243.06815661925097</v>
      </c>
      <c r="Q16" s="2">
        <v>1628410963968</v>
      </c>
      <c r="R16" s="2">
        <v>3.9284646840453061</v>
      </c>
      <c r="S16" s="2"/>
      <c r="T16" s="2" t="s">
        <v>289</v>
      </c>
      <c r="U16" s="2"/>
      <c r="V16" s="2">
        <v>37.337667475217366</v>
      </c>
      <c r="W16" s="2">
        <v>-95.509743559277496</v>
      </c>
      <c r="X16" s="2" t="s">
        <v>290</v>
      </c>
      <c r="Y16" s="2"/>
      <c r="Z16" s="2">
        <v>1628410951968</v>
      </c>
      <c r="AA16" s="2">
        <v>242.16689180453045</v>
      </c>
      <c r="AB16" s="2">
        <v>1628410987970</v>
      </c>
      <c r="AC16" s="2">
        <v>19.859073386652835</v>
      </c>
      <c r="AD16" s="2"/>
      <c r="AE16" s="2" t="s">
        <v>289</v>
      </c>
      <c r="AF16" s="2"/>
      <c r="AG16" s="2">
        <v>37.33716243579876</v>
      </c>
      <c r="AH16" s="2">
        <v>-95.51021644856506</v>
      </c>
      <c r="AI16" s="2" t="s">
        <v>290</v>
      </c>
      <c r="AJ16" s="2"/>
      <c r="AK16" s="2">
        <v>1628410989970</v>
      </c>
      <c r="AL16" s="2">
        <v>1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 t="s">
        <v>291</v>
      </c>
      <c r="BA16" s="2" t="s">
        <v>290</v>
      </c>
      <c r="BB16" s="2" t="s">
        <v>189</v>
      </c>
      <c r="BC16" s="2"/>
      <c r="BD16" s="2"/>
      <c r="BE16" s="2"/>
      <c r="BF16" s="2" t="s">
        <v>190</v>
      </c>
      <c r="BG16" s="2" t="s">
        <v>292</v>
      </c>
      <c r="BH16" s="2" t="s">
        <v>293</v>
      </c>
      <c r="BI16" s="2">
        <v>5</v>
      </c>
      <c r="BJ16" s="2"/>
      <c r="BK16" s="2"/>
      <c r="BL16" s="2"/>
      <c r="BM16" s="2"/>
      <c r="BN16" s="2"/>
      <c r="BO16" s="2"/>
      <c r="BP16" s="2" t="s">
        <v>179</v>
      </c>
      <c r="BQ16" s="2" t="s">
        <v>193</v>
      </c>
      <c r="BR16" s="2" t="s">
        <v>194</v>
      </c>
      <c r="BS16" s="2"/>
      <c r="BT16" s="2" t="s">
        <v>294</v>
      </c>
      <c r="BU16" s="2" t="s">
        <v>295</v>
      </c>
      <c r="BV16" s="2" t="s">
        <v>152</v>
      </c>
      <c r="BW16" s="2" t="s">
        <v>289</v>
      </c>
      <c r="BX16" s="2">
        <v>1628410992151</v>
      </c>
      <c r="BY16" s="2">
        <v>15</v>
      </c>
      <c r="BZ16" s="2">
        <v>243.13469680577921</v>
      </c>
      <c r="CA16" s="2">
        <v>1628410951968</v>
      </c>
      <c r="CB16" s="2"/>
      <c r="CC16" s="2"/>
      <c r="CD16" s="2"/>
      <c r="CE16" s="2"/>
      <c r="CF16" s="2">
        <v>37.337683620081776</v>
      </c>
      <c r="CG16" s="2">
        <v>-95.509704042092281</v>
      </c>
      <c r="CH16" s="2" t="s">
        <v>290</v>
      </c>
      <c r="CI16" s="2"/>
      <c r="CJ16" s="2">
        <v>1628410951968</v>
      </c>
      <c r="CK16" s="2" t="s">
        <v>215</v>
      </c>
      <c r="CL16" s="2" t="s">
        <v>216</v>
      </c>
    </row>
    <row r="17" spans="1:90" x14ac:dyDescent="0.25">
      <c r="A17" s="2" t="s">
        <v>171</v>
      </c>
      <c r="B17" s="2"/>
      <c r="C17" s="2" t="s">
        <v>150</v>
      </c>
      <c r="D17" s="2"/>
      <c r="E17" s="2"/>
      <c r="F17" s="2"/>
      <c r="G17" s="2"/>
      <c r="H17" s="2">
        <v>2378.973</v>
      </c>
      <c r="I17" s="2">
        <v>5468</v>
      </c>
      <c r="J17" s="2">
        <v>0</v>
      </c>
      <c r="K17" s="2">
        <v>5468</v>
      </c>
      <c r="L17" s="2"/>
      <c r="M17" s="2">
        <v>731594</v>
      </c>
      <c r="N17" s="2"/>
      <c r="O17" s="2"/>
      <c r="P17" s="2">
        <v>242.90379180037081</v>
      </c>
      <c r="Q17" s="2">
        <v>1628410974488</v>
      </c>
      <c r="R17" s="2">
        <v>8.2264690714642867</v>
      </c>
      <c r="S17" s="2"/>
      <c r="T17" s="2" t="s">
        <v>296</v>
      </c>
      <c r="U17" s="2"/>
      <c r="V17" s="2">
        <v>37.337784975899019</v>
      </c>
      <c r="W17" s="2">
        <v>-95.510423591244475</v>
      </c>
      <c r="X17" s="2" t="s">
        <v>297</v>
      </c>
      <c r="Y17" s="2"/>
      <c r="Z17" s="2">
        <v>1628410952487</v>
      </c>
      <c r="AA17" s="2">
        <v>229.08</v>
      </c>
      <c r="AB17" s="2">
        <v>1628411694538</v>
      </c>
      <c r="AC17" s="2">
        <v>19.490436119372024</v>
      </c>
      <c r="AD17" s="2"/>
      <c r="AE17" s="2" t="s">
        <v>296</v>
      </c>
      <c r="AF17" s="2"/>
      <c r="AG17" s="2">
        <v>37.352451629999997</v>
      </c>
      <c r="AH17" s="2">
        <v>-95.530015809999995</v>
      </c>
      <c r="AI17" s="2" t="s">
        <v>297</v>
      </c>
      <c r="AJ17" s="2"/>
      <c r="AK17" s="2">
        <v>1628411684081</v>
      </c>
      <c r="AL17" s="2">
        <v>1</v>
      </c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 t="s">
        <v>298</v>
      </c>
      <c r="BA17" s="2" t="s">
        <v>297</v>
      </c>
      <c r="BB17" s="2" t="s">
        <v>175</v>
      </c>
      <c r="BC17" s="2"/>
      <c r="BD17" s="2"/>
      <c r="BE17" s="2"/>
      <c r="BF17" s="2" t="s">
        <v>176</v>
      </c>
      <c r="BG17" s="2" t="s">
        <v>299</v>
      </c>
      <c r="BH17" s="2" t="s">
        <v>300</v>
      </c>
      <c r="BI17" s="2">
        <v>116</v>
      </c>
      <c r="BJ17" s="2"/>
      <c r="BK17" s="2"/>
      <c r="BL17" s="2"/>
      <c r="BM17" s="2"/>
      <c r="BN17" s="2"/>
      <c r="BO17" s="2"/>
      <c r="BP17" s="2" t="s">
        <v>179</v>
      </c>
      <c r="BQ17" s="2" t="s">
        <v>180</v>
      </c>
      <c r="BR17" s="2" t="s">
        <v>181</v>
      </c>
      <c r="BS17" s="2"/>
      <c r="BT17" s="2" t="s">
        <v>301</v>
      </c>
      <c r="BU17" s="2" t="s">
        <v>302</v>
      </c>
      <c r="BV17" s="2" t="s">
        <v>152</v>
      </c>
      <c r="BW17" s="2" t="s">
        <v>296</v>
      </c>
      <c r="BX17" s="2">
        <v>1628411691757</v>
      </c>
      <c r="BY17" s="2">
        <v>16</v>
      </c>
      <c r="BZ17" s="2">
        <v>242.77948617209961</v>
      </c>
      <c r="CA17" s="2">
        <v>1628410952487</v>
      </c>
      <c r="CB17" s="2"/>
      <c r="CC17" s="2"/>
      <c r="CD17" s="2"/>
      <c r="CE17" s="2"/>
      <c r="CF17" s="2">
        <v>37.337744999545727</v>
      </c>
      <c r="CG17" s="2">
        <v>-95.510501875514194</v>
      </c>
      <c r="CH17" s="2" t="s">
        <v>297</v>
      </c>
      <c r="CI17" s="2"/>
      <c r="CJ17" s="2">
        <v>1628410952487</v>
      </c>
      <c r="CK17" s="2" t="s">
        <v>184</v>
      </c>
      <c r="CL17" s="2" t="s">
        <v>185</v>
      </c>
    </row>
    <row r="18" spans="1:90" x14ac:dyDescent="0.25">
      <c r="A18" s="2" t="s">
        <v>171</v>
      </c>
      <c r="B18" s="2"/>
      <c r="C18" s="2" t="s">
        <v>150</v>
      </c>
      <c r="D18" s="2"/>
      <c r="E18" s="2"/>
      <c r="F18" s="2"/>
      <c r="G18" s="2"/>
      <c r="H18" s="2">
        <v>2362.902</v>
      </c>
      <c r="I18" s="2">
        <v>5467</v>
      </c>
      <c r="J18" s="2">
        <v>0</v>
      </c>
      <c r="K18" s="2">
        <v>5467</v>
      </c>
      <c r="L18" s="2"/>
      <c r="M18" s="2">
        <v>632819</v>
      </c>
      <c r="N18" s="2"/>
      <c r="O18" s="2"/>
      <c r="P18" s="2">
        <v>242.77948617209961</v>
      </c>
      <c r="Q18" s="2">
        <v>1628410953272</v>
      </c>
      <c r="R18" s="2">
        <v>17.979967860278595</v>
      </c>
      <c r="S18" s="2"/>
      <c r="T18" s="2" t="s">
        <v>303</v>
      </c>
      <c r="U18" s="2"/>
      <c r="V18" s="2">
        <v>37.337744999545727</v>
      </c>
      <c r="W18" s="2">
        <v>-95.510501875514194</v>
      </c>
      <c r="X18" s="2" t="s">
        <v>304</v>
      </c>
      <c r="Y18" s="2"/>
      <c r="Z18" s="2">
        <v>1628410953272</v>
      </c>
      <c r="AA18" s="2">
        <v>232.04981030064999</v>
      </c>
      <c r="AB18" s="2">
        <v>1628411661324</v>
      </c>
      <c r="AC18" s="2">
        <v>16.814136354419173</v>
      </c>
      <c r="AD18" s="2"/>
      <c r="AE18" s="2" t="s">
        <v>303</v>
      </c>
      <c r="AF18" s="2"/>
      <c r="AG18" s="2">
        <v>37.352449871446879</v>
      </c>
      <c r="AH18" s="2">
        <v>-95.529797893254525</v>
      </c>
      <c r="AI18" s="2" t="s">
        <v>304</v>
      </c>
      <c r="AJ18" s="2"/>
      <c r="AK18" s="2">
        <v>1628411586091</v>
      </c>
      <c r="AL18" s="2">
        <v>1</v>
      </c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 t="s">
        <v>305</v>
      </c>
      <c r="BA18" s="2" t="s">
        <v>304</v>
      </c>
      <c r="BB18" s="2" t="s">
        <v>175</v>
      </c>
      <c r="BC18" s="2"/>
      <c r="BD18" s="2"/>
      <c r="BE18" s="2"/>
      <c r="BF18" s="2" t="s">
        <v>176</v>
      </c>
      <c r="BG18" s="2" t="s">
        <v>306</v>
      </c>
      <c r="BH18" s="2" t="s">
        <v>307</v>
      </c>
      <c r="BI18" s="2">
        <v>116</v>
      </c>
      <c r="BJ18" s="2"/>
      <c r="BK18" s="2"/>
      <c r="BL18" s="2"/>
      <c r="BM18" s="2"/>
      <c r="BN18" s="2"/>
      <c r="BO18" s="2"/>
      <c r="BP18" s="2" t="s">
        <v>179</v>
      </c>
      <c r="BQ18" s="2" t="s">
        <v>180</v>
      </c>
      <c r="BR18" s="2" t="s">
        <v>181</v>
      </c>
      <c r="BS18" s="2"/>
      <c r="BT18" s="2" t="s">
        <v>308</v>
      </c>
      <c r="BU18" s="2" t="s">
        <v>309</v>
      </c>
      <c r="BV18" s="2" t="s">
        <v>152</v>
      </c>
      <c r="BW18" s="2" t="s">
        <v>303</v>
      </c>
      <c r="BX18" s="2">
        <v>1628411588892</v>
      </c>
      <c r="BY18" s="2">
        <v>17</v>
      </c>
      <c r="BZ18" s="2">
        <v>242.50987153952423</v>
      </c>
      <c r="CA18" s="2">
        <v>1628410947271</v>
      </c>
      <c r="CB18" s="2"/>
      <c r="CC18" s="2"/>
      <c r="CD18" s="2"/>
      <c r="CE18" s="2"/>
      <c r="CF18" s="2">
        <v>37.33773321738628</v>
      </c>
      <c r="CG18" s="2">
        <v>-95.510704686381203</v>
      </c>
      <c r="CH18" s="2" t="s">
        <v>304</v>
      </c>
      <c r="CI18" s="2"/>
      <c r="CJ18" s="2">
        <v>1628410953272</v>
      </c>
      <c r="CK18" s="2" t="s">
        <v>184</v>
      </c>
      <c r="CL18" s="2" t="s">
        <v>185</v>
      </c>
    </row>
    <row r="19" spans="1:90" x14ac:dyDescent="0.25">
      <c r="A19" s="2" t="s">
        <v>171</v>
      </c>
      <c r="B19" s="2"/>
      <c r="C19" s="2" t="s">
        <v>150</v>
      </c>
      <c r="D19" s="2"/>
      <c r="E19" s="2"/>
      <c r="F19" s="2"/>
      <c r="G19" s="2"/>
      <c r="H19" s="2">
        <v>177.744</v>
      </c>
      <c r="I19" s="2">
        <v>215</v>
      </c>
      <c r="J19" s="2">
        <v>0</v>
      </c>
      <c r="K19" s="2">
        <v>215</v>
      </c>
      <c r="L19" s="2"/>
      <c r="M19" s="2">
        <v>82006</v>
      </c>
      <c r="N19" s="2"/>
      <c r="O19" s="2"/>
      <c r="P19" s="2">
        <v>239.20345158495559</v>
      </c>
      <c r="Q19" s="2">
        <v>1628410968608</v>
      </c>
      <c r="R19" s="2">
        <v>17.254122936368272</v>
      </c>
      <c r="S19" s="2"/>
      <c r="T19" s="2" t="s">
        <v>310</v>
      </c>
      <c r="U19" s="2"/>
      <c r="V19" s="2">
        <v>37.334969705609659</v>
      </c>
      <c r="W19" s="2">
        <v>-95.533947722580564</v>
      </c>
      <c r="X19" s="2" t="s">
        <v>311</v>
      </c>
      <c r="Y19" s="2"/>
      <c r="Z19" s="2">
        <v>1628410956608</v>
      </c>
      <c r="AA19" s="2">
        <v>239.26164028933351</v>
      </c>
      <c r="AB19" s="2">
        <v>1628411034613</v>
      </c>
      <c r="AC19" s="2">
        <v>17.588364012510649</v>
      </c>
      <c r="AD19" s="2"/>
      <c r="AE19" s="2" t="s">
        <v>310</v>
      </c>
      <c r="AF19" s="2"/>
      <c r="AG19" s="2">
        <v>37.33350061678447</v>
      </c>
      <c r="AH19" s="2">
        <v>-95.5347401176669</v>
      </c>
      <c r="AI19" s="2" t="s">
        <v>311</v>
      </c>
      <c r="AJ19" s="2"/>
      <c r="AK19" s="2">
        <v>1628411038614</v>
      </c>
      <c r="AL19" s="2">
        <v>1</v>
      </c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 t="s">
        <v>312</v>
      </c>
      <c r="BA19" s="2" t="s">
        <v>311</v>
      </c>
      <c r="BB19" s="2" t="s">
        <v>189</v>
      </c>
      <c r="BC19" s="2"/>
      <c r="BD19" s="2"/>
      <c r="BE19" s="2"/>
      <c r="BF19" s="2" t="s">
        <v>190</v>
      </c>
      <c r="BG19" s="2" t="s">
        <v>313</v>
      </c>
      <c r="BH19" s="2" t="s">
        <v>314</v>
      </c>
      <c r="BI19" s="2">
        <v>12</v>
      </c>
      <c r="BJ19" s="2"/>
      <c r="BK19" s="2"/>
      <c r="BL19" s="2"/>
      <c r="BM19" s="2"/>
      <c r="BN19" s="2"/>
      <c r="BO19" s="2"/>
      <c r="BP19" s="2" t="s">
        <v>179</v>
      </c>
      <c r="BQ19" s="2" t="s">
        <v>193</v>
      </c>
      <c r="BR19" s="2" t="s">
        <v>194</v>
      </c>
      <c r="BS19" s="2"/>
      <c r="BT19" s="2" t="s">
        <v>315</v>
      </c>
      <c r="BU19" s="2" t="s">
        <v>316</v>
      </c>
      <c r="BV19" s="2" t="s">
        <v>152</v>
      </c>
      <c r="BW19" s="2" t="s">
        <v>310</v>
      </c>
      <c r="BX19" s="2">
        <v>1628411040158</v>
      </c>
      <c r="BY19" s="2">
        <v>18</v>
      </c>
      <c r="BZ19" s="2">
        <v>239.16593305560011</v>
      </c>
      <c r="CA19" s="2">
        <v>1628410952608</v>
      </c>
      <c r="CB19" s="2"/>
      <c r="CC19" s="2"/>
      <c r="CD19" s="2"/>
      <c r="CE19" s="2"/>
      <c r="CF19" s="2">
        <v>37.334929057483144</v>
      </c>
      <c r="CG19" s="2">
        <v>-95.533759381107643</v>
      </c>
      <c r="CH19" s="2" t="s">
        <v>311</v>
      </c>
      <c r="CI19" s="2"/>
      <c r="CJ19" s="2">
        <v>1628410956608</v>
      </c>
      <c r="CK19" s="2" t="s">
        <v>197</v>
      </c>
      <c r="CL19" s="2" t="s">
        <v>198</v>
      </c>
    </row>
    <row r="20" spans="1:90" x14ac:dyDescent="0.25">
      <c r="A20" s="2" t="s">
        <v>171</v>
      </c>
      <c r="B20" s="2">
        <v>1628411005877</v>
      </c>
      <c r="C20" s="2" t="s">
        <v>150</v>
      </c>
      <c r="D20" s="2"/>
      <c r="E20" s="2"/>
      <c r="F20" s="2"/>
      <c r="G20" s="2"/>
      <c r="H20" s="2">
        <v>73.563999999999993</v>
      </c>
      <c r="I20" s="2">
        <v>96</v>
      </c>
      <c r="J20" s="2">
        <v>0</v>
      </c>
      <c r="K20" s="2">
        <v>96</v>
      </c>
      <c r="L20" s="2"/>
      <c r="M20" s="2">
        <v>38003</v>
      </c>
      <c r="N20" s="2"/>
      <c r="O20" s="2">
        <v>1628411005877</v>
      </c>
      <c r="P20" s="2">
        <v>243.13469680577921</v>
      </c>
      <c r="Q20" s="2">
        <v>1628410967874</v>
      </c>
      <c r="R20" s="2">
        <v>17.979962265698024</v>
      </c>
      <c r="S20" s="2"/>
      <c r="T20" s="2" t="s">
        <v>317</v>
      </c>
      <c r="U20" s="2"/>
      <c r="V20" s="2">
        <v>37.337683620081776</v>
      </c>
      <c r="W20" s="2">
        <v>-95.509704042092281</v>
      </c>
      <c r="X20" s="2" t="s">
        <v>318</v>
      </c>
      <c r="Y20" s="2"/>
      <c r="Z20" s="2">
        <v>1628410967874</v>
      </c>
      <c r="AA20" s="2">
        <v>242.16689180453045</v>
      </c>
      <c r="AB20" s="2">
        <v>1628411003877</v>
      </c>
      <c r="AC20" s="2">
        <v>19.859073386652835</v>
      </c>
      <c r="AD20" s="2"/>
      <c r="AE20" s="2" t="s">
        <v>317</v>
      </c>
      <c r="AF20" s="2"/>
      <c r="AG20" s="2">
        <v>37.33716243579876</v>
      </c>
      <c r="AH20" s="2">
        <v>-95.51021644856506</v>
      </c>
      <c r="AI20" s="2" t="s">
        <v>318</v>
      </c>
      <c r="AJ20" s="2"/>
      <c r="AK20" s="2">
        <v>1628411005877</v>
      </c>
      <c r="AL20" s="2">
        <v>1</v>
      </c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 t="s">
        <v>319</v>
      </c>
      <c r="BA20" s="2" t="s">
        <v>318</v>
      </c>
      <c r="BB20" s="2" t="s">
        <v>189</v>
      </c>
      <c r="BC20" s="2"/>
      <c r="BD20" s="2"/>
      <c r="BE20" s="2"/>
      <c r="BF20" s="2" t="s">
        <v>190</v>
      </c>
      <c r="BG20" s="2" t="s">
        <v>320</v>
      </c>
      <c r="BH20" s="2" t="s">
        <v>321</v>
      </c>
      <c r="BI20" s="2">
        <v>6</v>
      </c>
      <c r="BJ20" s="2"/>
      <c r="BK20" s="2"/>
      <c r="BL20" s="2"/>
      <c r="BM20" s="2"/>
      <c r="BN20" s="2"/>
      <c r="BO20" s="2"/>
      <c r="BP20" s="2" t="s">
        <v>179</v>
      </c>
      <c r="BQ20" s="2" t="s">
        <v>193</v>
      </c>
      <c r="BR20" s="2" t="s">
        <v>194</v>
      </c>
      <c r="BS20" s="2"/>
      <c r="BT20" s="2" t="s">
        <v>322</v>
      </c>
      <c r="BU20" s="2" t="s">
        <v>323</v>
      </c>
      <c r="BV20" s="2" t="s">
        <v>152</v>
      </c>
      <c r="BW20" s="2" t="s">
        <v>317</v>
      </c>
      <c r="BX20" s="2">
        <v>1628411011372</v>
      </c>
      <c r="BY20" s="2">
        <v>19</v>
      </c>
      <c r="BZ20" s="2">
        <v>243.17387872042161</v>
      </c>
      <c r="CA20" s="2">
        <v>1628410961874</v>
      </c>
      <c r="CB20" s="2"/>
      <c r="CC20" s="2"/>
      <c r="CD20" s="2"/>
      <c r="CE20" s="2"/>
      <c r="CF20" s="2">
        <v>37.337833086025498</v>
      </c>
      <c r="CG20" s="2">
        <v>-95.509626448840663</v>
      </c>
      <c r="CH20" s="2" t="s">
        <v>318</v>
      </c>
      <c r="CI20" s="2"/>
      <c r="CJ20" s="2">
        <v>1628410967874</v>
      </c>
      <c r="CK20" s="2" t="s">
        <v>215</v>
      </c>
      <c r="CL20" s="2" t="s">
        <v>216</v>
      </c>
    </row>
    <row r="21" spans="1:90" x14ac:dyDescent="0.25">
      <c r="A21" s="2" t="s">
        <v>171</v>
      </c>
      <c r="B21" s="2"/>
      <c r="C21" s="2" t="s">
        <v>150</v>
      </c>
      <c r="D21" s="2"/>
      <c r="E21" s="2"/>
      <c r="F21" s="2"/>
      <c r="G21" s="2"/>
      <c r="H21" s="2">
        <v>177.744</v>
      </c>
      <c r="I21" s="2">
        <v>215</v>
      </c>
      <c r="J21" s="2">
        <v>0</v>
      </c>
      <c r="K21" s="2">
        <v>215</v>
      </c>
      <c r="L21" s="2"/>
      <c r="M21" s="2">
        <v>82007</v>
      </c>
      <c r="N21" s="2"/>
      <c r="O21" s="2"/>
      <c r="P21" s="2">
        <v>239.20345158495559</v>
      </c>
      <c r="Q21" s="2">
        <v>1628410981969</v>
      </c>
      <c r="R21" s="2">
        <v>17.254122936368272</v>
      </c>
      <c r="S21" s="2"/>
      <c r="T21" s="2" t="s">
        <v>324</v>
      </c>
      <c r="U21" s="2"/>
      <c r="V21" s="2">
        <v>37.334969705609659</v>
      </c>
      <c r="W21" s="2">
        <v>-95.533947722580564</v>
      </c>
      <c r="X21" s="2" t="s">
        <v>325</v>
      </c>
      <c r="Y21" s="2"/>
      <c r="Z21" s="2">
        <v>1628410969968</v>
      </c>
      <c r="AA21" s="2">
        <v>239.26164028933351</v>
      </c>
      <c r="AB21" s="2">
        <v>1628411047975</v>
      </c>
      <c r="AC21" s="2">
        <v>17.588364012510649</v>
      </c>
      <c r="AD21" s="2"/>
      <c r="AE21" s="2" t="s">
        <v>324</v>
      </c>
      <c r="AF21" s="2"/>
      <c r="AG21" s="2">
        <v>37.33350061678447</v>
      </c>
      <c r="AH21" s="2">
        <v>-95.5347401176669</v>
      </c>
      <c r="AI21" s="2" t="s">
        <v>325</v>
      </c>
      <c r="AJ21" s="2"/>
      <c r="AK21" s="2">
        <v>1628411051975</v>
      </c>
      <c r="AL21" s="2">
        <v>1</v>
      </c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 t="s">
        <v>326</v>
      </c>
      <c r="BA21" s="2" t="s">
        <v>325</v>
      </c>
      <c r="BB21" s="2" t="s">
        <v>202</v>
      </c>
      <c r="BC21" s="2"/>
      <c r="BD21" s="2"/>
      <c r="BE21" s="2"/>
      <c r="BF21" s="2" t="s">
        <v>203</v>
      </c>
      <c r="BG21" s="2" t="s">
        <v>327</v>
      </c>
      <c r="BH21" s="2" t="s">
        <v>328</v>
      </c>
      <c r="BI21" s="2">
        <v>12</v>
      </c>
      <c r="BJ21" s="2"/>
      <c r="BK21" s="2"/>
      <c r="BL21" s="2"/>
      <c r="BM21" s="2"/>
      <c r="BN21" s="2"/>
      <c r="BO21" s="2"/>
      <c r="BP21" s="2" t="s">
        <v>179</v>
      </c>
      <c r="BQ21" s="2" t="s">
        <v>193</v>
      </c>
      <c r="BR21" s="2" t="s">
        <v>194</v>
      </c>
      <c r="BS21" s="2"/>
      <c r="BT21" s="2" t="s">
        <v>329</v>
      </c>
      <c r="BU21" s="2" t="s">
        <v>330</v>
      </c>
      <c r="BV21" s="2" t="s">
        <v>152</v>
      </c>
      <c r="BW21" s="2" t="s">
        <v>324</v>
      </c>
      <c r="BX21" s="2">
        <v>1628411057860</v>
      </c>
      <c r="BY21" s="2">
        <v>20</v>
      </c>
      <c r="BZ21" s="2">
        <v>239.16593305560011</v>
      </c>
      <c r="CA21" s="2">
        <v>1628410965968</v>
      </c>
      <c r="CB21" s="2"/>
      <c r="CC21" s="2"/>
      <c r="CD21" s="2"/>
      <c r="CE21" s="2"/>
      <c r="CF21" s="2">
        <v>37.334929057483144</v>
      </c>
      <c r="CG21" s="2">
        <v>-95.533759381107643</v>
      </c>
      <c r="CH21" s="2" t="s">
        <v>325</v>
      </c>
      <c r="CI21" s="2"/>
      <c r="CJ21" s="2">
        <v>1628410969968</v>
      </c>
      <c r="CK21" s="2" t="s">
        <v>197</v>
      </c>
      <c r="CL21" s="2" t="s">
        <v>198</v>
      </c>
    </row>
    <row r="22" spans="1:90" x14ac:dyDescent="0.25">
      <c r="A22" s="2" t="s">
        <v>171</v>
      </c>
      <c r="B22" s="2"/>
      <c r="C22" s="2" t="s">
        <v>150</v>
      </c>
      <c r="D22" s="2"/>
      <c r="E22" s="2"/>
      <c r="F22" s="2"/>
      <c r="G22" s="2"/>
      <c r="H22" s="2">
        <v>177.744</v>
      </c>
      <c r="I22" s="2">
        <v>215</v>
      </c>
      <c r="J22" s="2">
        <v>0</v>
      </c>
      <c r="K22" s="2">
        <v>215</v>
      </c>
      <c r="L22" s="2"/>
      <c r="M22" s="2">
        <v>10000</v>
      </c>
      <c r="N22" s="2"/>
      <c r="O22" s="2"/>
      <c r="P22" s="2">
        <v>239.20345158495559</v>
      </c>
      <c r="Q22" s="2">
        <v>1628410984764</v>
      </c>
      <c r="R22" s="2">
        <v>17.254122936368272</v>
      </c>
      <c r="S22" s="2"/>
      <c r="T22" s="2" t="s">
        <v>331</v>
      </c>
      <c r="U22" s="2"/>
      <c r="V22" s="2">
        <v>37.334969705609659</v>
      </c>
      <c r="W22" s="2">
        <v>-95.533947722580564</v>
      </c>
      <c r="X22" s="2" t="s">
        <v>332</v>
      </c>
      <c r="Y22" s="2"/>
      <c r="Z22" s="2">
        <v>1628410972764</v>
      </c>
      <c r="AA22" s="2">
        <v>239.26164028933351</v>
      </c>
      <c r="AB22" s="2">
        <v>1628411050770</v>
      </c>
      <c r="AC22" s="2">
        <v>17.588364012510649</v>
      </c>
      <c r="AD22" s="2"/>
      <c r="AE22" s="2" t="s">
        <v>331</v>
      </c>
      <c r="AF22" s="2"/>
      <c r="AG22" s="2">
        <v>37.33350061678447</v>
      </c>
      <c r="AH22" s="2">
        <v>-95.5347401176669</v>
      </c>
      <c r="AI22" s="2" t="s">
        <v>332</v>
      </c>
      <c r="AJ22" s="2"/>
      <c r="AK22" s="2">
        <v>1628410982764</v>
      </c>
      <c r="AL22" s="2">
        <v>1</v>
      </c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 t="s">
        <v>333</v>
      </c>
      <c r="BA22" s="2" t="s">
        <v>332</v>
      </c>
      <c r="BB22" s="2" t="s">
        <v>202</v>
      </c>
      <c r="BC22" s="2"/>
      <c r="BD22" s="2"/>
      <c r="BE22" s="2"/>
      <c r="BF22" s="2" t="s">
        <v>203</v>
      </c>
      <c r="BG22" s="2" t="s">
        <v>334</v>
      </c>
      <c r="BH22" s="2" t="s">
        <v>335</v>
      </c>
      <c r="BI22" s="2">
        <v>12</v>
      </c>
      <c r="BJ22" s="2"/>
      <c r="BK22" s="2"/>
      <c r="BL22" s="2"/>
      <c r="BM22" s="2"/>
      <c r="BN22" s="2"/>
      <c r="BO22" s="2"/>
      <c r="BP22" s="2" t="s">
        <v>179</v>
      </c>
      <c r="BQ22" s="2" t="s">
        <v>285</v>
      </c>
      <c r="BR22" s="2" t="s">
        <v>286</v>
      </c>
      <c r="BS22" s="2"/>
      <c r="BT22" s="2" t="s">
        <v>336</v>
      </c>
      <c r="BU22" s="2" t="s">
        <v>337</v>
      </c>
      <c r="BV22" s="2" t="s">
        <v>152</v>
      </c>
      <c r="BW22" s="2" t="s">
        <v>331</v>
      </c>
      <c r="BX22" s="2">
        <v>1628410984244</v>
      </c>
      <c r="BY22" s="2">
        <v>21</v>
      </c>
      <c r="BZ22" s="2">
        <v>239.16593305560011</v>
      </c>
      <c r="CA22" s="2">
        <v>1628410968764</v>
      </c>
      <c r="CB22" s="2"/>
      <c r="CC22" s="2"/>
      <c r="CD22" s="2"/>
      <c r="CE22" s="2"/>
      <c r="CF22" s="2">
        <v>37.334929057483144</v>
      </c>
      <c r="CG22" s="2">
        <v>-95.533759381107643</v>
      </c>
      <c r="CH22" s="2" t="s">
        <v>332</v>
      </c>
      <c r="CI22" s="2"/>
      <c r="CJ22" s="2">
        <v>1628410972764</v>
      </c>
      <c r="CK22" s="2" t="s">
        <v>197</v>
      </c>
      <c r="CL22" s="2" t="s">
        <v>198</v>
      </c>
    </row>
    <row r="23" spans="1:90" x14ac:dyDescent="0.25">
      <c r="A23" s="2" t="s">
        <v>171</v>
      </c>
      <c r="B23" s="2"/>
      <c r="C23" s="2" t="s">
        <v>150</v>
      </c>
      <c r="D23" s="2"/>
      <c r="E23" s="2"/>
      <c r="F23" s="2"/>
      <c r="G23" s="2"/>
      <c r="H23" s="2">
        <v>2378.973</v>
      </c>
      <c r="I23" s="2">
        <v>5468</v>
      </c>
      <c r="J23" s="2">
        <v>0</v>
      </c>
      <c r="K23" s="2">
        <v>5468</v>
      </c>
      <c r="L23" s="2"/>
      <c r="M23" s="2">
        <v>674479</v>
      </c>
      <c r="N23" s="2"/>
      <c r="O23" s="2"/>
      <c r="P23" s="2">
        <v>242.90379180037081</v>
      </c>
      <c r="Q23" s="2">
        <v>1628411003273</v>
      </c>
      <c r="R23" s="2">
        <v>8.2264690714642867</v>
      </c>
      <c r="S23" s="2"/>
      <c r="T23" s="2" t="s">
        <v>338</v>
      </c>
      <c r="U23" s="2"/>
      <c r="V23" s="2">
        <v>37.337784975899019</v>
      </c>
      <c r="W23" s="2">
        <v>-95.510423591244475</v>
      </c>
      <c r="X23" s="2" t="s">
        <v>339</v>
      </c>
      <c r="Y23" s="2"/>
      <c r="Z23" s="2">
        <v>1628410981273</v>
      </c>
      <c r="AA23" s="2">
        <v>229.08</v>
      </c>
      <c r="AB23" s="2">
        <v>1628411723322</v>
      </c>
      <c r="AC23" s="2">
        <v>19.490436119372024</v>
      </c>
      <c r="AD23" s="2"/>
      <c r="AE23" s="2" t="s">
        <v>338</v>
      </c>
      <c r="AF23" s="2"/>
      <c r="AG23" s="2">
        <v>37.352451629999997</v>
      </c>
      <c r="AH23" s="2">
        <v>-95.530015809999995</v>
      </c>
      <c r="AI23" s="2" t="s">
        <v>339</v>
      </c>
      <c r="AJ23" s="2"/>
      <c r="AK23" s="2">
        <v>1628411655752</v>
      </c>
      <c r="AL23" s="2">
        <v>1</v>
      </c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 t="s">
        <v>340</v>
      </c>
      <c r="BA23" s="2" t="s">
        <v>339</v>
      </c>
      <c r="BB23" s="2" t="s">
        <v>175</v>
      </c>
      <c r="BC23" s="2"/>
      <c r="BD23" s="2"/>
      <c r="BE23" s="2"/>
      <c r="BF23" s="2" t="s">
        <v>176</v>
      </c>
      <c r="BG23" s="2" t="s">
        <v>341</v>
      </c>
      <c r="BH23" s="2" t="s">
        <v>342</v>
      </c>
      <c r="BI23" s="2">
        <v>116</v>
      </c>
      <c r="BJ23" s="2"/>
      <c r="BK23" s="2"/>
      <c r="BL23" s="2"/>
      <c r="BM23" s="2"/>
      <c r="BN23" s="2"/>
      <c r="BO23" s="2"/>
      <c r="BP23" s="2" t="s">
        <v>179</v>
      </c>
      <c r="BQ23" s="2" t="s">
        <v>180</v>
      </c>
      <c r="BR23" s="2" t="s">
        <v>181</v>
      </c>
      <c r="BS23" s="2"/>
      <c r="BT23" s="2" t="s">
        <v>343</v>
      </c>
      <c r="BU23" s="2" t="s">
        <v>344</v>
      </c>
      <c r="BV23" s="2" t="s">
        <v>152</v>
      </c>
      <c r="BW23" s="2" t="s">
        <v>338</v>
      </c>
      <c r="BX23" s="2">
        <v>1628411659829</v>
      </c>
      <c r="BY23" s="2">
        <v>22</v>
      </c>
      <c r="BZ23" s="2">
        <v>242.77948617209961</v>
      </c>
      <c r="CA23" s="2">
        <v>1628410981273</v>
      </c>
      <c r="CB23" s="2"/>
      <c r="CC23" s="2"/>
      <c r="CD23" s="2"/>
      <c r="CE23" s="2"/>
      <c r="CF23" s="2">
        <v>37.337744999545727</v>
      </c>
      <c r="CG23" s="2">
        <v>-95.510501875514194</v>
      </c>
      <c r="CH23" s="2" t="s">
        <v>339</v>
      </c>
      <c r="CI23" s="2"/>
      <c r="CJ23" s="2">
        <v>1628410981273</v>
      </c>
      <c r="CK23" s="2" t="s">
        <v>184</v>
      </c>
      <c r="CL23" s="2" t="s">
        <v>185</v>
      </c>
    </row>
    <row r="24" spans="1:90" x14ac:dyDescent="0.25">
      <c r="A24" s="2" t="s">
        <v>171</v>
      </c>
      <c r="B24" s="2"/>
      <c r="C24" s="2" t="s">
        <v>150</v>
      </c>
      <c r="D24" s="2"/>
      <c r="E24" s="2"/>
      <c r="F24" s="2"/>
      <c r="G24" s="2"/>
      <c r="H24" s="2">
        <v>2378.973</v>
      </c>
      <c r="I24" s="2">
        <v>5468</v>
      </c>
      <c r="J24" s="2">
        <v>0</v>
      </c>
      <c r="K24" s="2">
        <v>5468</v>
      </c>
      <c r="L24" s="2"/>
      <c r="M24" s="2">
        <v>634107</v>
      </c>
      <c r="N24" s="2"/>
      <c r="O24" s="2"/>
      <c r="P24" s="2">
        <v>242.90379180037081</v>
      </c>
      <c r="Q24" s="2">
        <v>1628411013774</v>
      </c>
      <c r="R24" s="2">
        <v>8.2264690714642867</v>
      </c>
      <c r="S24" s="2"/>
      <c r="T24" s="2" t="s">
        <v>345</v>
      </c>
      <c r="U24" s="2"/>
      <c r="V24" s="2">
        <v>37.337784975899019</v>
      </c>
      <c r="W24" s="2">
        <v>-95.510423591244475</v>
      </c>
      <c r="X24" s="2" t="s">
        <v>346</v>
      </c>
      <c r="Y24" s="2"/>
      <c r="Z24" s="2">
        <v>1628410991774</v>
      </c>
      <c r="AA24" s="2">
        <v>229.08</v>
      </c>
      <c r="AB24" s="2">
        <v>1628411733825</v>
      </c>
      <c r="AC24" s="2">
        <v>19.490436119372024</v>
      </c>
      <c r="AD24" s="2"/>
      <c r="AE24" s="2" t="s">
        <v>345</v>
      </c>
      <c r="AF24" s="2"/>
      <c r="AG24" s="2">
        <v>37.352451629999997</v>
      </c>
      <c r="AH24" s="2">
        <v>-95.530015809999995</v>
      </c>
      <c r="AI24" s="2" t="s">
        <v>346</v>
      </c>
      <c r="AJ24" s="2"/>
      <c r="AK24" s="2">
        <v>1628411625881</v>
      </c>
      <c r="AL24" s="2">
        <v>1</v>
      </c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 t="s">
        <v>347</v>
      </c>
      <c r="BA24" s="2" t="s">
        <v>346</v>
      </c>
      <c r="BB24" s="2" t="s">
        <v>175</v>
      </c>
      <c r="BC24" s="2"/>
      <c r="BD24" s="2"/>
      <c r="BE24" s="2"/>
      <c r="BF24" s="2" t="s">
        <v>176</v>
      </c>
      <c r="BG24" s="2" t="s">
        <v>348</v>
      </c>
      <c r="BH24" s="2" t="s">
        <v>349</v>
      </c>
      <c r="BI24" s="2">
        <v>116</v>
      </c>
      <c r="BJ24" s="2"/>
      <c r="BK24" s="2"/>
      <c r="BL24" s="2"/>
      <c r="BM24" s="2"/>
      <c r="BN24" s="2"/>
      <c r="BO24" s="2"/>
      <c r="BP24" s="2" t="s">
        <v>179</v>
      </c>
      <c r="BQ24" s="2" t="s">
        <v>180</v>
      </c>
      <c r="BR24" s="2" t="s">
        <v>181</v>
      </c>
      <c r="BS24" s="2"/>
      <c r="BT24" s="2" t="s">
        <v>350</v>
      </c>
      <c r="BU24" s="2" t="s">
        <v>351</v>
      </c>
      <c r="BV24" s="2" t="s">
        <v>152</v>
      </c>
      <c r="BW24" s="2" t="s">
        <v>345</v>
      </c>
      <c r="BX24" s="2">
        <v>1628411627458</v>
      </c>
      <c r="BY24" s="2">
        <v>23</v>
      </c>
      <c r="BZ24" s="2">
        <v>242.77948617209961</v>
      </c>
      <c r="CA24" s="2">
        <v>1628410991774</v>
      </c>
      <c r="CB24" s="2"/>
      <c r="CC24" s="2"/>
      <c r="CD24" s="2"/>
      <c r="CE24" s="2"/>
      <c r="CF24" s="2">
        <v>37.337744999545727</v>
      </c>
      <c r="CG24" s="2">
        <v>-95.510501875514194</v>
      </c>
      <c r="CH24" s="2" t="s">
        <v>346</v>
      </c>
      <c r="CI24" s="2"/>
      <c r="CJ24" s="2">
        <v>1628410991774</v>
      </c>
      <c r="CK24" s="2" t="s">
        <v>184</v>
      </c>
      <c r="CL24" s="2" t="s">
        <v>185</v>
      </c>
    </row>
    <row r="25" spans="1:90" x14ac:dyDescent="0.25">
      <c r="A25" s="2" t="s">
        <v>171</v>
      </c>
      <c r="B25" s="2"/>
      <c r="C25" s="2" t="s">
        <v>150</v>
      </c>
      <c r="D25" s="2"/>
      <c r="E25" s="2"/>
      <c r="F25" s="2"/>
      <c r="G25" s="2"/>
      <c r="H25" s="2">
        <v>2378.973</v>
      </c>
      <c r="I25" s="2">
        <v>5468</v>
      </c>
      <c r="J25" s="2">
        <v>0</v>
      </c>
      <c r="K25" s="2">
        <v>5468</v>
      </c>
      <c r="L25" s="2"/>
      <c r="M25" s="2">
        <v>652347</v>
      </c>
      <c r="N25" s="2"/>
      <c r="O25" s="2"/>
      <c r="P25" s="2">
        <v>242.90379180037081</v>
      </c>
      <c r="Q25" s="2">
        <v>1628411020223</v>
      </c>
      <c r="R25" s="2">
        <v>8.2264690714642867</v>
      </c>
      <c r="S25" s="2"/>
      <c r="T25" s="2" t="s">
        <v>352</v>
      </c>
      <c r="U25" s="2"/>
      <c r="V25" s="2">
        <v>37.337784975899019</v>
      </c>
      <c r="W25" s="2">
        <v>-95.510423591244475</v>
      </c>
      <c r="X25" s="2" t="s">
        <v>353</v>
      </c>
      <c r="Y25" s="2"/>
      <c r="Z25" s="2">
        <v>1628410998222</v>
      </c>
      <c r="AA25" s="2">
        <v>229.08</v>
      </c>
      <c r="AB25" s="2">
        <v>1628411740285</v>
      </c>
      <c r="AC25" s="2">
        <v>19.490436119372024</v>
      </c>
      <c r="AD25" s="2"/>
      <c r="AE25" s="2" t="s">
        <v>352</v>
      </c>
      <c r="AF25" s="2"/>
      <c r="AG25" s="2">
        <v>37.352451629999997</v>
      </c>
      <c r="AH25" s="2">
        <v>-95.530015809999995</v>
      </c>
      <c r="AI25" s="2" t="s">
        <v>353</v>
      </c>
      <c r="AJ25" s="2"/>
      <c r="AK25" s="2">
        <v>1628411650569</v>
      </c>
      <c r="AL25" s="2">
        <v>1</v>
      </c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 t="s">
        <v>354</v>
      </c>
      <c r="BA25" s="2" t="s">
        <v>353</v>
      </c>
      <c r="BB25" s="2" t="s">
        <v>175</v>
      </c>
      <c r="BC25" s="2"/>
      <c r="BD25" s="2"/>
      <c r="BE25" s="2"/>
      <c r="BF25" s="2" t="s">
        <v>176</v>
      </c>
      <c r="BG25" s="2" t="s">
        <v>355</v>
      </c>
      <c r="BH25" s="2" t="s">
        <v>356</v>
      </c>
      <c r="BI25" s="2">
        <v>116</v>
      </c>
      <c r="BJ25" s="2"/>
      <c r="BK25" s="2"/>
      <c r="BL25" s="2"/>
      <c r="BM25" s="2"/>
      <c r="BN25" s="2"/>
      <c r="BO25" s="2"/>
      <c r="BP25" s="2" t="s">
        <v>179</v>
      </c>
      <c r="BQ25" s="2" t="s">
        <v>180</v>
      </c>
      <c r="BR25" s="2" t="s">
        <v>181</v>
      </c>
      <c r="BS25" s="2"/>
      <c r="BT25" s="2" t="s">
        <v>357</v>
      </c>
      <c r="BU25" s="2" t="s">
        <v>358</v>
      </c>
      <c r="BV25" s="2" t="s">
        <v>152</v>
      </c>
      <c r="BW25" s="2" t="s">
        <v>352</v>
      </c>
      <c r="BX25" s="2">
        <v>1628411657199</v>
      </c>
      <c r="BY25" s="2">
        <v>24</v>
      </c>
      <c r="BZ25" s="2">
        <v>242.77948617209961</v>
      </c>
      <c r="CA25" s="2">
        <v>1628410998222</v>
      </c>
      <c r="CB25" s="2"/>
      <c r="CC25" s="2"/>
      <c r="CD25" s="2"/>
      <c r="CE25" s="2"/>
      <c r="CF25" s="2">
        <v>37.337744999545727</v>
      </c>
      <c r="CG25" s="2">
        <v>-95.510501875514194</v>
      </c>
      <c r="CH25" s="2" t="s">
        <v>353</v>
      </c>
      <c r="CI25" s="2"/>
      <c r="CJ25" s="2">
        <v>1628410998222</v>
      </c>
      <c r="CK25" s="2" t="s">
        <v>184</v>
      </c>
      <c r="CL25" s="2" t="s">
        <v>185</v>
      </c>
    </row>
    <row r="26" spans="1:90" x14ac:dyDescent="0.25">
      <c r="A26" s="2" t="s">
        <v>171</v>
      </c>
      <c r="B26" s="2">
        <v>1628411037975</v>
      </c>
      <c r="C26" s="2" t="s">
        <v>150</v>
      </c>
      <c r="D26" s="2"/>
      <c r="E26" s="2"/>
      <c r="F26" s="2"/>
      <c r="G26" s="2"/>
      <c r="H26" s="2">
        <v>70.016999999999996</v>
      </c>
      <c r="I26" s="2">
        <v>78</v>
      </c>
      <c r="J26" s="2">
        <v>0</v>
      </c>
      <c r="K26" s="2">
        <v>78</v>
      </c>
      <c r="L26" s="2"/>
      <c r="M26" s="2">
        <v>38002</v>
      </c>
      <c r="N26" s="2"/>
      <c r="O26" s="2">
        <v>1628411037975</v>
      </c>
      <c r="P26" s="2">
        <v>243.06815661925097</v>
      </c>
      <c r="Q26" s="2">
        <v>1628411011973</v>
      </c>
      <c r="R26" s="2">
        <v>3.9284646840453061</v>
      </c>
      <c r="S26" s="2"/>
      <c r="T26" s="2" t="s">
        <v>359</v>
      </c>
      <c r="U26" s="2"/>
      <c r="V26" s="2">
        <v>37.337667475217366</v>
      </c>
      <c r="W26" s="2">
        <v>-95.509743559277496</v>
      </c>
      <c r="X26" s="2" t="s">
        <v>360</v>
      </c>
      <c r="Y26" s="2"/>
      <c r="Z26" s="2">
        <v>1628410999973</v>
      </c>
      <c r="AA26" s="2">
        <v>242.16689180453045</v>
      </c>
      <c r="AB26" s="2">
        <v>1628411035975</v>
      </c>
      <c r="AC26" s="2">
        <v>19.859073386652835</v>
      </c>
      <c r="AD26" s="2"/>
      <c r="AE26" s="2" t="s">
        <v>359</v>
      </c>
      <c r="AF26" s="2"/>
      <c r="AG26" s="2">
        <v>37.33716243579876</v>
      </c>
      <c r="AH26" s="2">
        <v>-95.51021644856506</v>
      </c>
      <c r="AI26" s="2" t="s">
        <v>360</v>
      </c>
      <c r="AJ26" s="2"/>
      <c r="AK26" s="2">
        <v>1628411037975</v>
      </c>
      <c r="AL26" s="2">
        <v>1</v>
      </c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 t="s">
        <v>361</v>
      </c>
      <c r="BA26" s="2" t="s">
        <v>360</v>
      </c>
      <c r="BB26" s="2" t="s">
        <v>189</v>
      </c>
      <c r="BC26" s="2"/>
      <c r="BD26" s="2"/>
      <c r="BE26" s="2"/>
      <c r="BF26" s="2" t="s">
        <v>190</v>
      </c>
      <c r="BG26" s="2" t="s">
        <v>362</v>
      </c>
      <c r="BH26" s="2" t="s">
        <v>363</v>
      </c>
      <c r="BI26" s="2">
        <v>5</v>
      </c>
      <c r="BJ26" s="2"/>
      <c r="BK26" s="2"/>
      <c r="BL26" s="2"/>
      <c r="BM26" s="2"/>
      <c r="BN26" s="2"/>
      <c r="BO26" s="2"/>
      <c r="BP26" s="2" t="s">
        <v>179</v>
      </c>
      <c r="BQ26" s="2" t="s">
        <v>193</v>
      </c>
      <c r="BR26" s="2" t="s">
        <v>194</v>
      </c>
      <c r="BS26" s="2"/>
      <c r="BT26" s="2" t="s">
        <v>364</v>
      </c>
      <c r="BU26" s="2" t="s">
        <v>365</v>
      </c>
      <c r="BV26" s="2" t="s">
        <v>152</v>
      </c>
      <c r="BW26" s="2" t="s">
        <v>359</v>
      </c>
      <c r="BX26" s="2">
        <v>1628411040156</v>
      </c>
      <c r="BY26" s="2">
        <v>25</v>
      </c>
      <c r="BZ26" s="2">
        <v>243.13469680577921</v>
      </c>
      <c r="CA26" s="2">
        <v>1628410999973</v>
      </c>
      <c r="CB26" s="2"/>
      <c r="CC26" s="2"/>
      <c r="CD26" s="2"/>
      <c r="CE26" s="2"/>
      <c r="CF26" s="2">
        <v>37.337683620081776</v>
      </c>
      <c r="CG26" s="2">
        <v>-95.509704042092281</v>
      </c>
      <c r="CH26" s="2" t="s">
        <v>360</v>
      </c>
      <c r="CI26" s="2"/>
      <c r="CJ26" s="2">
        <v>1628410999973</v>
      </c>
      <c r="CK26" s="2" t="s">
        <v>215</v>
      </c>
      <c r="CL26" s="2" t="s">
        <v>216</v>
      </c>
    </row>
    <row r="27" spans="1:90" x14ac:dyDescent="0.25">
      <c r="A27" s="2" t="s">
        <v>171</v>
      </c>
      <c r="B27" s="2"/>
      <c r="C27" s="2" t="s">
        <v>150</v>
      </c>
      <c r="D27" s="2"/>
      <c r="E27" s="2"/>
      <c r="F27" s="2"/>
      <c r="G27" s="2"/>
      <c r="H27" s="2">
        <v>177.744</v>
      </c>
      <c r="I27" s="2">
        <v>215</v>
      </c>
      <c r="J27" s="2">
        <v>0</v>
      </c>
      <c r="K27" s="2">
        <v>215</v>
      </c>
      <c r="L27" s="2"/>
      <c r="M27" s="2">
        <v>82005</v>
      </c>
      <c r="N27" s="2"/>
      <c r="O27" s="2"/>
      <c r="P27" s="2">
        <v>239.20345158495559</v>
      </c>
      <c r="Q27" s="2">
        <v>1628411018612</v>
      </c>
      <c r="R27" s="2">
        <v>17.254122936368272</v>
      </c>
      <c r="S27" s="2"/>
      <c r="T27" s="2" t="s">
        <v>366</v>
      </c>
      <c r="U27" s="2"/>
      <c r="V27" s="2">
        <v>37.334969705609659</v>
      </c>
      <c r="W27" s="2">
        <v>-95.533947722580564</v>
      </c>
      <c r="X27" s="2" t="s">
        <v>367</v>
      </c>
      <c r="Y27" s="2"/>
      <c r="Z27" s="2">
        <v>1628411006612</v>
      </c>
      <c r="AA27" s="2">
        <v>239.26164028933351</v>
      </c>
      <c r="AB27" s="2">
        <v>1628411084617</v>
      </c>
      <c r="AC27" s="2">
        <v>17.588364012510649</v>
      </c>
      <c r="AD27" s="2"/>
      <c r="AE27" s="2" t="s">
        <v>366</v>
      </c>
      <c r="AF27" s="2"/>
      <c r="AG27" s="2">
        <v>37.33350061678447</v>
      </c>
      <c r="AH27" s="2">
        <v>-95.5347401176669</v>
      </c>
      <c r="AI27" s="2" t="s">
        <v>367</v>
      </c>
      <c r="AJ27" s="2"/>
      <c r="AK27" s="2">
        <v>1628411088617</v>
      </c>
      <c r="AL27" s="2">
        <v>1</v>
      </c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 t="s">
        <v>368</v>
      </c>
      <c r="BA27" s="2" t="s">
        <v>367</v>
      </c>
      <c r="BB27" s="2" t="s">
        <v>189</v>
      </c>
      <c r="BC27" s="2"/>
      <c r="BD27" s="2"/>
      <c r="BE27" s="2"/>
      <c r="BF27" s="2" t="s">
        <v>190</v>
      </c>
      <c r="BG27" s="2" t="s">
        <v>369</v>
      </c>
      <c r="BH27" s="2" t="s">
        <v>370</v>
      </c>
      <c r="BI27" s="2">
        <v>12</v>
      </c>
      <c r="BJ27" s="2"/>
      <c r="BK27" s="2"/>
      <c r="BL27" s="2"/>
      <c r="BM27" s="2"/>
      <c r="BN27" s="2"/>
      <c r="BO27" s="2"/>
      <c r="BP27" s="2" t="s">
        <v>179</v>
      </c>
      <c r="BQ27" s="2" t="s">
        <v>193</v>
      </c>
      <c r="BR27" s="2" t="s">
        <v>194</v>
      </c>
      <c r="BS27" s="2"/>
      <c r="BT27" s="2" t="s">
        <v>371</v>
      </c>
      <c r="BU27" s="2" t="s">
        <v>372</v>
      </c>
      <c r="BV27" s="2" t="s">
        <v>152</v>
      </c>
      <c r="BW27" s="2" t="s">
        <v>366</v>
      </c>
      <c r="BX27" s="2">
        <v>1628411091824</v>
      </c>
      <c r="BY27" s="2">
        <v>26</v>
      </c>
      <c r="BZ27" s="2">
        <v>239.16593305560011</v>
      </c>
      <c r="CA27" s="2">
        <v>1628411002612</v>
      </c>
      <c r="CB27" s="2"/>
      <c r="CC27" s="2"/>
      <c r="CD27" s="2"/>
      <c r="CE27" s="2"/>
      <c r="CF27" s="2">
        <v>37.334929057483144</v>
      </c>
      <c r="CG27" s="2">
        <v>-95.533759381107643</v>
      </c>
      <c r="CH27" s="2" t="s">
        <v>367</v>
      </c>
      <c r="CI27" s="2"/>
      <c r="CJ27" s="2">
        <v>1628411006612</v>
      </c>
      <c r="CK27" s="2" t="s">
        <v>197</v>
      </c>
      <c r="CL27" s="2" t="s">
        <v>198</v>
      </c>
    </row>
    <row r="28" spans="1:90" x14ac:dyDescent="0.25">
      <c r="A28" s="2" t="s">
        <v>171</v>
      </c>
      <c r="B28" s="2"/>
      <c r="C28" s="2" t="s">
        <v>150</v>
      </c>
      <c r="D28" s="2"/>
      <c r="E28" s="2"/>
      <c r="F28" s="2"/>
      <c r="G28" s="2"/>
      <c r="H28" s="2">
        <v>2364.835</v>
      </c>
      <c r="I28" s="2">
        <v>5449</v>
      </c>
      <c r="J28" s="2">
        <v>0</v>
      </c>
      <c r="K28" s="2">
        <v>5449</v>
      </c>
      <c r="L28" s="2"/>
      <c r="M28" s="2">
        <v>696495</v>
      </c>
      <c r="N28" s="2"/>
      <c r="O28" s="2"/>
      <c r="P28" s="2">
        <v>242.90379180037081</v>
      </c>
      <c r="Q28" s="2">
        <v>1628411039776</v>
      </c>
      <c r="R28" s="2">
        <v>8.2264690714642867</v>
      </c>
      <c r="S28" s="2"/>
      <c r="T28" s="2" t="s">
        <v>373</v>
      </c>
      <c r="U28" s="2"/>
      <c r="V28" s="2">
        <v>37.337784975899019</v>
      </c>
      <c r="W28" s="2">
        <v>-95.510423591244475</v>
      </c>
      <c r="X28" s="2" t="s">
        <v>374</v>
      </c>
      <c r="Y28" s="2"/>
      <c r="Z28" s="2">
        <v>1628411017775</v>
      </c>
      <c r="AA28" s="2">
        <v>232.04981030064999</v>
      </c>
      <c r="AB28" s="2">
        <v>1628411725825</v>
      </c>
      <c r="AC28" s="2">
        <v>16.814136354419173</v>
      </c>
      <c r="AD28" s="2"/>
      <c r="AE28" s="2" t="s">
        <v>373</v>
      </c>
      <c r="AF28" s="2"/>
      <c r="AG28" s="2">
        <v>37.352449871446879</v>
      </c>
      <c r="AH28" s="2">
        <v>-95.529797893254525</v>
      </c>
      <c r="AI28" s="2" t="s">
        <v>374</v>
      </c>
      <c r="AJ28" s="2"/>
      <c r="AK28" s="2">
        <v>1628411714270</v>
      </c>
      <c r="AL28" s="2">
        <v>1</v>
      </c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 t="s">
        <v>375</v>
      </c>
      <c r="BA28" s="2" t="s">
        <v>374</v>
      </c>
      <c r="BB28" s="2" t="s">
        <v>175</v>
      </c>
      <c r="BC28" s="2"/>
      <c r="BD28" s="2"/>
      <c r="BE28" s="2"/>
      <c r="BF28" s="2" t="s">
        <v>176</v>
      </c>
      <c r="BG28" s="2" t="s">
        <v>376</v>
      </c>
      <c r="BH28" s="2" t="s">
        <v>377</v>
      </c>
      <c r="BI28" s="2">
        <v>115</v>
      </c>
      <c r="BJ28" s="2"/>
      <c r="BK28" s="2"/>
      <c r="BL28" s="2"/>
      <c r="BM28" s="2"/>
      <c r="BN28" s="2"/>
      <c r="BO28" s="2"/>
      <c r="BP28" s="2" t="s">
        <v>179</v>
      </c>
      <c r="BQ28" s="2" t="s">
        <v>180</v>
      </c>
      <c r="BR28" s="2" t="s">
        <v>181</v>
      </c>
      <c r="BS28" s="2"/>
      <c r="BT28" s="2" t="s">
        <v>378</v>
      </c>
      <c r="BU28" s="2" t="s">
        <v>379</v>
      </c>
      <c r="BV28" s="2" t="s">
        <v>152</v>
      </c>
      <c r="BW28" s="2" t="s">
        <v>373</v>
      </c>
      <c r="BX28" s="2">
        <v>1628411720213</v>
      </c>
      <c r="BY28" s="2">
        <v>27</v>
      </c>
      <c r="BZ28" s="2">
        <v>242.77948617209961</v>
      </c>
      <c r="CA28" s="2">
        <v>1628411017775</v>
      </c>
      <c r="CB28" s="2"/>
      <c r="CC28" s="2"/>
      <c r="CD28" s="2"/>
      <c r="CE28" s="2"/>
      <c r="CF28" s="2">
        <v>37.337744999545727</v>
      </c>
      <c r="CG28" s="2">
        <v>-95.510501875514194</v>
      </c>
      <c r="CH28" s="2" t="s">
        <v>374</v>
      </c>
      <c r="CI28" s="2"/>
      <c r="CJ28" s="2">
        <v>1628411017775</v>
      </c>
      <c r="CK28" s="2" t="s">
        <v>184</v>
      </c>
      <c r="CL28" s="2" t="s">
        <v>185</v>
      </c>
    </row>
    <row r="29" spans="1:90" x14ac:dyDescent="0.25">
      <c r="A29" s="2" t="s">
        <v>171</v>
      </c>
      <c r="B29" s="2">
        <v>1628411057077</v>
      </c>
      <c r="C29" s="2" t="s">
        <v>150</v>
      </c>
      <c r="D29" s="2"/>
      <c r="E29" s="2"/>
      <c r="F29" s="2"/>
      <c r="G29" s="2"/>
      <c r="H29" s="2">
        <v>70.016999999999996</v>
      </c>
      <c r="I29" s="2">
        <v>78</v>
      </c>
      <c r="J29" s="2">
        <v>0</v>
      </c>
      <c r="K29" s="2">
        <v>78</v>
      </c>
      <c r="L29" s="2"/>
      <c r="M29" s="2">
        <v>38002</v>
      </c>
      <c r="N29" s="2"/>
      <c r="O29" s="2">
        <v>1628411057077</v>
      </c>
      <c r="P29" s="2">
        <v>243.06815661925097</v>
      </c>
      <c r="Q29" s="2">
        <v>1628411031075</v>
      </c>
      <c r="R29" s="2">
        <v>3.9284646840453061</v>
      </c>
      <c r="S29" s="2"/>
      <c r="T29" s="2" t="s">
        <v>380</v>
      </c>
      <c r="U29" s="2"/>
      <c r="V29" s="2">
        <v>37.337667475217366</v>
      </c>
      <c r="W29" s="2">
        <v>-95.509743559277496</v>
      </c>
      <c r="X29" s="2" t="s">
        <v>381</v>
      </c>
      <c r="Y29" s="2"/>
      <c r="Z29" s="2">
        <v>1628411019075</v>
      </c>
      <c r="AA29" s="2">
        <v>242.16689180453045</v>
      </c>
      <c r="AB29" s="2">
        <v>1628411055077</v>
      </c>
      <c r="AC29" s="2">
        <v>19.859073386652835</v>
      </c>
      <c r="AD29" s="2"/>
      <c r="AE29" s="2" t="s">
        <v>380</v>
      </c>
      <c r="AF29" s="2"/>
      <c r="AG29" s="2">
        <v>37.33716243579876</v>
      </c>
      <c r="AH29" s="2">
        <v>-95.51021644856506</v>
      </c>
      <c r="AI29" s="2" t="s">
        <v>381</v>
      </c>
      <c r="AJ29" s="2"/>
      <c r="AK29" s="2">
        <v>1628411057077</v>
      </c>
      <c r="AL29" s="2">
        <v>1</v>
      </c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 t="s">
        <v>382</v>
      </c>
      <c r="BA29" s="2" t="s">
        <v>381</v>
      </c>
      <c r="BB29" s="2" t="s">
        <v>189</v>
      </c>
      <c r="BC29" s="2"/>
      <c r="BD29" s="2"/>
      <c r="BE29" s="2"/>
      <c r="BF29" s="2" t="s">
        <v>190</v>
      </c>
      <c r="BG29" s="2" t="s">
        <v>383</v>
      </c>
      <c r="BH29" s="2" t="s">
        <v>384</v>
      </c>
      <c r="BI29" s="2">
        <v>5</v>
      </c>
      <c r="BJ29" s="2"/>
      <c r="BK29" s="2"/>
      <c r="BL29" s="2"/>
      <c r="BM29" s="2"/>
      <c r="BN29" s="2"/>
      <c r="BO29" s="2"/>
      <c r="BP29" s="2" t="s">
        <v>179</v>
      </c>
      <c r="BQ29" s="2" t="s">
        <v>193</v>
      </c>
      <c r="BR29" s="2" t="s">
        <v>194</v>
      </c>
      <c r="BS29" s="2"/>
      <c r="BT29" s="2" t="s">
        <v>385</v>
      </c>
      <c r="BU29" s="2" t="s">
        <v>386</v>
      </c>
      <c r="BV29" s="2" t="s">
        <v>152</v>
      </c>
      <c r="BW29" s="2" t="s">
        <v>380</v>
      </c>
      <c r="BX29" s="2">
        <v>1628411059464</v>
      </c>
      <c r="BY29" s="2">
        <v>28</v>
      </c>
      <c r="BZ29" s="2">
        <v>243.13469680577921</v>
      </c>
      <c r="CA29" s="2">
        <v>1628411019074</v>
      </c>
      <c r="CB29" s="2"/>
      <c r="CC29" s="2"/>
      <c r="CD29" s="2"/>
      <c r="CE29" s="2"/>
      <c r="CF29" s="2">
        <v>37.337683620081776</v>
      </c>
      <c r="CG29" s="2">
        <v>-95.509704042092281</v>
      </c>
      <c r="CH29" s="2" t="s">
        <v>381</v>
      </c>
      <c r="CI29" s="2"/>
      <c r="CJ29" s="2">
        <v>1628411019075</v>
      </c>
      <c r="CK29" s="2" t="s">
        <v>215</v>
      </c>
      <c r="CL29" s="2" t="s">
        <v>216</v>
      </c>
    </row>
    <row r="30" spans="1:90" x14ac:dyDescent="0.25">
      <c r="A30" s="2" t="s">
        <v>171</v>
      </c>
      <c r="B30" s="2"/>
      <c r="C30" s="2" t="s">
        <v>150</v>
      </c>
      <c r="D30" s="2"/>
      <c r="E30" s="2"/>
      <c r="F30" s="2"/>
      <c r="G30" s="2"/>
      <c r="H30" s="2">
        <v>177.744</v>
      </c>
      <c r="I30" s="2">
        <v>215</v>
      </c>
      <c r="J30" s="2">
        <v>0</v>
      </c>
      <c r="K30" s="2">
        <v>215</v>
      </c>
      <c r="L30" s="2"/>
      <c r="M30" s="2">
        <v>82006</v>
      </c>
      <c r="N30" s="2"/>
      <c r="O30" s="2"/>
      <c r="P30" s="2">
        <v>239.20345158495559</v>
      </c>
      <c r="Q30" s="2">
        <v>1628411033077</v>
      </c>
      <c r="R30" s="2">
        <v>17.254122936368272</v>
      </c>
      <c r="S30" s="2"/>
      <c r="T30" s="2" t="s">
        <v>387</v>
      </c>
      <c r="U30" s="2"/>
      <c r="V30" s="2">
        <v>37.334969705609659</v>
      </c>
      <c r="W30" s="2">
        <v>-95.533947722580564</v>
      </c>
      <c r="X30" s="2" t="s">
        <v>388</v>
      </c>
      <c r="Y30" s="2"/>
      <c r="Z30" s="2">
        <v>1628411021077</v>
      </c>
      <c r="AA30" s="2">
        <v>239.26164028933351</v>
      </c>
      <c r="AB30" s="2">
        <v>1628411099082</v>
      </c>
      <c r="AC30" s="2">
        <v>17.588364012510649</v>
      </c>
      <c r="AD30" s="2"/>
      <c r="AE30" s="2" t="s">
        <v>387</v>
      </c>
      <c r="AF30" s="2"/>
      <c r="AG30" s="2">
        <v>37.33350061678447</v>
      </c>
      <c r="AH30" s="2">
        <v>-95.5347401176669</v>
      </c>
      <c r="AI30" s="2" t="s">
        <v>388</v>
      </c>
      <c r="AJ30" s="2"/>
      <c r="AK30" s="2">
        <v>1628411103083</v>
      </c>
      <c r="AL30" s="2">
        <v>1</v>
      </c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 t="s">
        <v>389</v>
      </c>
      <c r="BA30" s="2" t="s">
        <v>388</v>
      </c>
      <c r="BB30" s="2" t="s">
        <v>202</v>
      </c>
      <c r="BC30" s="2"/>
      <c r="BD30" s="2"/>
      <c r="BE30" s="2"/>
      <c r="BF30" s="2" t="s">
        <v>203</v>
      </c>
      <c r="BG30" s="2" t="s">
        <v>390</v>
      </c>
      <c r="BH30" s="2" t="s">
        <v>391</v>
      </c>
      <c r="BI30" s="2">
        <v>12</v>
      </c>
      <c r="BJ30" s="2"/>
      <c r="BK30" s="2"/>
      <c r="BL30" s="2"/>
      <c r="BM30" s="2"/>
      <c r="BN30" s="2"/>
      <c r="BO30" s="2"/>
      <c r="BP30" s="2" t="s">
        <v>179</v>
      </c>
      <c r="BQ30" s="2" t="s">
        <v>193</v>
      </c>
      <c r="BR30" s="2" t="s">
        <v>194</v>
      </c>
      <c r="BS30" s="2"/>
      <c r="BT30" s="2" t="s">
        <v>392</v>
      </c>
      <c r="BU30" s="2" t="s">
        <v>393</v>
      </c>
      <c r="BV30" s="2" t="s">
        <v>152</v>
      </c>
      <c r="BW30" s="2" t="s">
        <v>387</v>
      </c>
      <c r="BX30" s="2">
        <v>1628411110654</v>
      </c>
      <c r="BY30" s="2">
        <v>29</v>
      </c>
      <c r="BZ30" s="2">
        <v>239.16593305560011</v>
      </c>
      <c r="CA30" s="2">
        <v>1628411017076</v>
      </c>
      <c r="CB30" s="2"/>
      <c r="CC30" s="2"/>
      <c r="CD30" s="2"/>
      <c r="CE30" s="2"/>
      <c r="CF30" s="2">
        <v>37.334929057483144</v>
      </c>
      <c r="CG30" s="2">
        <v>-95.533759381107643</v>
      </c>
      <c r="CH30" s="2" t="s">
        <v>388</v>
      </c>
      <c r="CI30" s="2"/>
      <c r="CJ30" s="2">
        <v>1628411021077</v>
      </c>
      <c r="CK30" s="2" t="s">
        <v>197</v>
      </c>
      <c r="CL30" s="2" t="s">
        <v>198</v>
      </c>
    </row>
    <row r="31" spans="1:90" x14ac:dyDescent="0.25">
      <c r="A31" s="2" t="s">
        <v>171</v>
      </c>
      <c r="B31" s="2"/>
      <c r="C31" s="2" t="s">
        <v>150</v>
      </c>
      <c r="D31" s="2"/>
      <c r="E31" s="2"/>
      <c r="F31" s="2"/>
      <c r="G31" s="2"/>
      <c r="H31" s="2">
        <v>2362.902</v>
      </c>
      <c r="I31" s="2">
        <v>5467</v>
      </c>
      <c r="J31" s="2">
        <v>0</v>
      </c>
      <c r="K31" s="2">
        <v>5467</v>
      </c>
      <c r="L31" s="2"/>
      <c r="M31" s="2">
        <v>675219</v>
      </c>
      <c r="N31" s="2"/>
      <c r="O31" s="2"/>
      <c r="P31" s="2">
        <v>242.77948617209961</v>
      </c>
      <c r="Q31" s="2">
        <v>1628411021494</v>
      </c>
      <c r="R31" s="2">
        <v>17.979967860278595</v>
      </c>
      <c r="S31" s="2"/>
      <c r="T31" s="2" t="s">
        <v>394</v>
      </c>
      <c r="U31" s="2"/>
      <c r="V31" s="2">
        <v>37.337744999545727</v>
      </c>
      <c r="W31" s="2">
        <v>-95.510501875514194</v>
      </c>
      <c r="X31" s="2" t="s">
        <v>395</v>
      </c>
      <c r="Y31" s="2"/>
      <c r="Z31" s="2">
        <v>1628411021494</v>
      </c>
      <c r="AA31" s="2">
        <v>232.04981030064999</v>
      </c>
      <c r="AB31" s="2">
        <v>1628411729548</v>
      </c>
      <c r="AC31" s="2">
        <v>16.814136354419173</v>
      </c>
      <c r="AD31" s="2"/>
      <c r="AE31" s="2" t="s">
        <v>394</v>
      </c>
      <c r="AF31" s="2"/>
      <c r="AG31" s="2">
        <v>37.352449871446879</v>
      </c>
      <c r="AH31" s="2">
        <v>-95.529797893254525</v>
      </c>
      <c r="AI31" s="2" t="s">
        <v>395</v>
      </c>
      <c r="AJ31" s="2"/>
      <c r="AK31" s="2">
        <v>1628411696713</v>
      </c>
      <c r="AL31" s="2">
        <v>1</v>
      </c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 t="s">
        <v>396</v>
      </c>
      <c r="BA31" s="2" t="s">
        <v>395</v>
      </c>
      <c r="BB31" s="2" t="s">
        <v>175</v>
      </c>
      <c r="BC31" s="2"/>
      <c r="BD31" s="2"/>
      <c r="BE31" s="2"/>
      <c r="BF31" s="2" t="s">
        <v>176</v>
      </c>
      <c r="BG31" s="2" t="s">
        <v>397</v>
      </c>
      <c r="BH31" s="2" t="s">
        <v>398</v>
      </c>
      <c r="BI31" s="2">
        <v>116</v>
      </c>
      <c r="BJ31" s="2"/>
      <c r="BK31" s="2"/>
      <c r="BL31" s="2"/>
      <c r="BM31" s="2"/>
      <c r="BN31" s="2"/>
      <c r="BO31" s="2"/>
      <c r="BP31" s="2" t="s">
        <v>179</v>
      </c>
      <c r="BQ31" s="2" t="s">
        <v>180</v>
      </c>
      <c r="BR31" s="2" t="s">
        <v>181</v>
      </c>
      <c r="BS31" s="2"/>
      <c r="BT31" s="2" t="s">
        <v>399</v>
      </c>
      <c r="BU31" s="2" t="s">
        <v>400</v>
      </c>
      <c r="BV31" s="2" t="s">
        <v>152</v>
      </c>
      <c r="BW31" s="2" t="s">
        <v>394</v>
      </c>
      <c r="BX31" s="2">
        <v>1628411700986</v>
      </c>
      <c r="BY31" s="2">
        <v>30</v>
      </c>
      <c r="BZ31" s="2">
        <v>242.50987153952423</v>
      </c>
      <c r="CA31" s="2">
        <v>1628411015494</v>
      </c>
      <c r="CB31" s="2"/>
      <c r="CC31" s="2"/>
      <c r="CD31" s="2"/>
      <c r="CE31" s="2"/>
      <c r="CF31" s="2">
        <v>37.33773321738628</v>
      </c>
      <c r="CG31" s="2">
        <v>-95.510704686381203</v>
      </c>
      <c r="CH31" s="2" t="s">
        <v>395</v>
      </c>
      <c r="CI31" s="2"/>
      <c r="CJ31" s="2">
        <v>1628411021494</v>
      </c>
      <c r="CK31" s="2" t="s">
        <v>184</v>
      </c>
      <c r="CL31" s="2" t="s">
        <v>185</v>
      </c>
    </row>
    <row r="32" spans="1:90" x14ac:dyDescent="0.25">
      <c r="A32" s="2" t="s">
        <v>171</v>
      </c>
      <c r="B32" s="2"/>
      <c r="C32" s="2" t="s">
        <v>150</v>
      </c>
      <c r="D32" s="2"/>
      <c r="E32" s="2"/>
      <c r="F32" s="2"/>
      <c r="G32" s="2"/>
      <c r="H32" s="2">
        <v>177.744</v>
      </c>
      <c r="I32" s="2">
        <v>215</v>
      </c>
      <c r="J32" s="2">
        <v>0</v>
      </c>
      <c r="K32" s="2">
        <v>215</v>
      </c>
      <c r="L32" s="2"/>
      <c r="M32" s="2">
        <v>82006</v>
      </c>
      <c r="N32" s="2"/>
      <c r="O32" s="2"/>
      <c r="P32" s="2">
        <v>239.20345158495559</v>
      </c>
      <c r="Q32" s="2">
        <v>1628411053592</v>
      </c>
      <c r="R32" s="2">
        <v>17.254122936368272</v>
      </c>
      <c r="S32" s="2"/>
      <c r="T32" s="2" t="s">
        <v>401</v>
      </c>
      <c r="U32" s="2"/>
      <c r="V32" s="2">
        <v>37.334969705609659</v>
      </c>
      <c r="W32" s="2">
        <v>-95.533947722580564</v>
      </c>
      <c r="X32" s="2" t="s">
        <v>402</v>
      </c>
      <c r="Y32" s="2"/>
      <c r="Z32" s="2">
        <v>1628411041592</v>
      </c>
      <c r="AA32" s="2">
        <v>239.26164028933351</v>
      </c>
      <c r="AB32" s="2">
        <v>1628411119597</v>
      </c>
      <c r="AC32" s="2">
        <v>17.588364012510649</v>
      </c>
      <c r="AD32" s="2"/>
      <c r="AE32" s="2" t="s">
        <v>401</v>
      </c>
      <c r="AF32" s="2"/>
      <c r="AG32" s="2">
        <v>37.33350061678447</v>
      </c>
      <c r="AH32" s="2">
        <v>-95.5347401176669</v>
      </c>
      <c r="AI32" s="2" t="s">
        <v>402</v>
      </c>
      <c r="AJ32" s="2"/>
      <c r="AK32" s="2">
        <v>1628411123598</v>
      </c>
      <c r="AL32" s="2">
        <v>1</v>
      </c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 t="s">
        <v>403</v>
      </c>
      <c r="BA32" s="2" t="s">
        <v>402</v>
      </c>
      <c r="BB32" s="2" t="s">
        <v>189</v>
      </c>
      <c r="BC32" s="2"/>
      <c r="BD32" s="2"/>
      <c r="BE32" s="2"/>
      <c r="BF32" s="2" t="s">
        <v>190</v>
      </c>
      <c r="BG32" s="2" t="s">
        <v>404</v>
      </c>
      <c r="BH32" s="2" t="s">
        <v>405</v>
      </c>
      <c r="BI32" s="2">
        <v>12</v>
      </c>
      <c r="BJ32" s="2"/>
      <c r="BK32" s="2"/>
      <c r="BL32" s="2"/>
      <c r="BM32" s="2"/>
      <c r="BN32" s="2"/>
      <c r="BO32" s="2"/>
      <c r="BP32" s="2" t="s">
        <v>179</v>
      </c>
      <c r="BQ32" s="2" t="s">
        <v>193</v>
      </c>
      <c r="BR32" s="2" t="s">
        <v>194</v>
      </c>
      <c r="BS32" s="2"/>
      <c r="BT32" s="2" t="s">
        <v>406</v>
      </c>
      <c r="BU32" s="2" t="s">
        <v>407</v>
      </c>
      <c r="BV32" s="2" t="s">
        <v>152</v>
      </c>
      <c r="BW32" s="2" t="s">
        <v>401</v>
      </c>
      <c r="BX32" s="2">
        <v>1628411128185</v>
      </c>
      <c r="BY32" s="2">
        <v>31</v>
      </c>
      <c r="BZ32" s="2">
        <v>239.16593305560011</v>
      </c>
      <c r="CA32" s="2">
        <v>1628411037592</v>
      </c>
      <c r="CB32" s="2"/>
      <c r="CC32" s="2"/>
      <c r="CD32" s="2"/>
      <c r="CE32" s="2"/>
      <c r="CF32" s="2">
        <v>37.334929057483144</v>
      </c>
      <c r="CG32" s="2">
        <v>-95.533759381107643</v>
      </c>
      <c r="CH32" s="2" t="s">
        <v>402</v>
      </c>
      <c r="CI32" s="2"/>
      <c r="CJ32" s="2">
        <v>1628411041592</v>
      </c>
      <c r="CK32" s="2" t="s">
        <v>197</v>
      </c>
      <c r="CL32" s="2" t="s">
        <v>198</v>
      </c>
    </row>
    <row r="33" spans="1:90" x14ac:dyDescent="0.25">
      <c r="A33" s="2" t="s">
        <v>171</v>
      </c>
      <c r="B33" s="2">
        <v>1628411082914</v>
      </c>
      <c r="C33" s="2" t="s">
        <v>150</v>
      </c>
      <c r="D33" s="2"/>
      <c r="E33" s="2"/>
      <c r="F33" s="2"/>
      <c r="G33" s="2"/>
      <c r="H33" s="2">
        <v>73.563999999999993</v>
      </c>
      <c r="I33" s="2">
        <v>96</v>
      </c>
      <c r="J33" s="2">
        <v>0</v>
      </c>
      <c r="K33" s="2">
        <v>96</v>
      </c>
      <c r="L33" s="2"/>
      <c r="M33" s="2">
        <v>38002</v>
      </c>
      <c r="N33" s="2"/>
      <c r="O33" s="2">
        <v>1628411082914</v>
      </c>
      <c r="P33" s="2">
        <v>243.13469680577921</v>
      </c>
      <c r="Q33" s="2">
        <v>1628411044912</v>
      </c>
      <c r="R33" s="2">
        <v>17.979962265698024</v>
      </c>
      <c r="S33" s="2"/>
      <c r="T33" s="2" t="s">
        <v>408</v>
      </c>
      <c r="U33" s="2"/>
      <c r="V33" s="2">
        <v>37.337683620081776</v>
      </c>
      <c r="W33" s="2">
        <v>-95.509704042092281</v>
      </c>
      <c r="X33" s="2" t="s">
        <v>409</v>
      </c>
      <c r="Y33" s="2"/>
      <c r="Z33" s="2">
        <v>1628411044912</v>
      </c>
      <c r="AA33" s="2">
        <v>242.16689180453045</v>
      </c>
      <c r="AB33" s="2">
        <v>1628411080914</v>
      </c>
      <c r="AC33" s="2">
        <v>19.859073386652835</v>
      </c>
      <c r="AD33" s="2"/>
      <c r="AE33" s="2" t="s">
        <v>408</v>
      </c>
      <c r="AF33" s="2"/>
      <c r="AG33" s="2">
        <v>37.33716243579876</v>
      </c>
      <c r="AH33" s="2">
        <v>-95.51021644856506</v>
      </c>
      <c r="AI33" s="2" t="s">
        <v>409</v>
      </c>
      <c r="AJ33" s="2"/>
      <c r="AK33" s="2">
        <v>1628411082914</v>
      </c>
      <c r="AL33" s="2">
        <v>1</v>
      </c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 t="s">
        <v>410</v>
      </c>
      <c r="BA33" s="2" t="s">
        <v>409</v>
      </c>
      <c r="BB33" s="2" t="s">
        <v>189</v>
      </c>
      <c r="BC33" s="2"/>
      <c r="BD33" s="2"/>
      <c r="BE33" s="2"/>
      <c r="BF33" s="2" t="s">
        <v>190</v>
      </c>
      <c r="BG33" s="2" t="s">
        <v>411</v>
      </c>
      <c r="BH33" s="2" t="s">
        <v>412</v>
      </c>
      <c r="BI33" s="2">
        <v>6</v>
      </c>
      <c r="BJ33" s="2"/>
      <c r="BK33" s="2"/>
      <c r="BL33" s="2"/>
      <c r="BM33" s="2"/>
      <c r="BN33" s="2"/>
      <c r="BO33" s="2"/>
      <c r="BP33" s="2" t="s">
        <v>179</v>
      </c>
      <c r="BQ33" s="2" t="s">
        <v>193</v>
      </c>
      <c r="BR33" s="2" t="s">
        <v>194</v>
      </c>
      <c r="BS33" s="2"/>
      <c r="BT33" s="2" t="s">
        <v>413</v>
      </c>
      <c r="BU33" s="2" t="s">
        <v>414</v>
      </c>
      <c r="BV33" s="2" t="s">
        <v>152</v>
      </c>
      <c r="BW33" s="2" t="s">
        <v>408</v>
      </c>
      <c r="BX33" s="2">
        <v>1628411088213</v>
      </c>
      <c r="BY33" s="2">
        <v>32</v>
      </c>
      <c r="BZ33" s="2">
        <v>243.17387872042161</v>
      </c>
      <c r="CA33" s="2">
        <v>1628411038912</v>
      </c>
      <c r="CB33" s="2"/>
      <c r="CC33" s="2"/>
      <c r="CD33" s="2"/>
      <c r="CE33" s="2"/>
      <c r="CF33" s="2">
        <v>37.337833086025498</v>
      </c>
      <c r="CG33" s="2">
        <v>-95.509626448840663</v>
      </c>
      <c r="CH33" s="2" t="s">
        <v>409</v>
      </c>
      <c r="CI33" s="2"/>
      <c r="CJ33" s="2">
        <v>1628411044912</v>
      </c>
      <c r="CK33" s="2" t="s">
        <v>215</v>
      </c>
      <c r="CL33" s="2" t="s">
        <v>216</v>
      </c>
    </row>
    <row r="34" spans="1:90" x14ac:dyDescent="0.25">
      <c r="A34" s="2" t="s">
        <v>171</v>
      </c>
      <c r="B34" s="2"/>
      <c r="C34" s="2" t="s">
        <v>150</v>
      </c>
      <c r="D34" s="2"/>
      <c r="E34" s="2"/>
      <c r="F34" s="2"/>
      <c r="G34" s="2"/>
      <c r="H34" s="2">
        <v>2364.835</v>
      </c>
      <c r="I34" s="2">
        <v>5449</v>
      </c>
      <c r="J34" s="2">
        <v>0</v>
      </c>
      <c r="K34" s="2">
        <v>5449</v>
      </c>
      <c r="L34" s="2"/>
      <c r="M34" s="2">
        <v>698803</v>
      </c>
      <c r="N34" s="2"/>
      <c r="O34" s="2"/>
      <c r="P34" s="2">
        <v>242.90379180037081</v>
      </c>
      <c r="Q34" s="2">
        <v>1628411070276</v>
      </c>
      <c r="R34" s="2">
        <v>8.2264690714642867</v>
      </c>
      <c r="S34" s="2"/>
      <c r="T34" s="2" t="s">
        <v>415</v>
      </c>
      <c r="U34" s="2"/>
      <c r="V34" s="2">
        <v>37.337784975899019</v>
      </c>
      <c r="W34" s="2">
        <v>-95.510423591244475</v>
      </c>
      <c r="X34" s="2" t="s">
        <v>416</v>
      </c>
      <c r="Y34" s="2"/>
      <c r="Z34" s="2">
        <v>1628411048276</v>
      </c>
      <c r="AA34" s="2">
        <v>232.04981030064999</v>
      </c>
      <c r="AB34" s="2">
        <v>1628411756327</v>
      </c>
      <c r="AC34" s="2">
        <v>16.814136354419173</v>
      </c>
      <c r="AD34" s="2"/>
      <c r="AE34" s="2" t="s">
        <v>415</v>
      </c>
      <c r="AF34" s="2"/>
      <c r="AG34" s="2">
        <v>37.352449871446879</v>
      </c>
      <c r="AH34" s="2">
        <v>-95.529797893254525</v>
      </c>
      <c r="AI34" s="2" t="s">
        <v>416</v>
      </c>
      <c r="AJ34" s="2"/>
      <c r="AK34" s="2">
        <v>1628411747079</v>
      </c>
      <c r="AL34" s="2">
        <v>1</v>
      </c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 t="s">
        <v>417</v>
      </c>
      <c r="BA34" s="2" t="s">
        <v>416</v>
      </c>
      <c r="BB34" s="2" t="s">
        <v>175</v>
      </c>
      <c r="BC34" s="2"/>
      <c r="BD34" s="2"/>
      <c r="BE34" s="2"/>
      <c r="BF34" s="2" t="s">
        <v>176</v>
      </c>
      <c r="BG34" s="2" t="s">
        <v>418</v>
      </c>
      <c r="BH34" s="2" t="s">
        <v>419</v>
      </c>
      <c r="BI34" s="2">
        <v>115</v>
      </c>
      <c r="BJ34" s="2"/>
      <c r="BK34" s="2"/>
      <c r="BL34" s="2"/>
      <c r="BM34" s="2"/>
      <c r="BN34" s="2"/>
      <c r="BO34" s="2"/>
      <c r="BP34" s="2" t="s">
        <v>179</v>
      </c>
      <c r="BQ34" s="2" t="s">
        <v>180</v>
      </c>
      <c r="BR34" s="2" t="s">
        <v>181</v>
      </c>
      <c r="BS34" s="2"/>
      <c r="BT34" s="2" t="s">
        <v>420</v>
      </c>
      <c r="BU34" s="2" t="s">
        <v>421</v>
      </c>
      <c r="BV34" s="2" t="s">
        <v>152</v>
      </c>
      <c r="BW34" s="2" t="s">
        <v>415</v>
      </c>
      <c r="BX34" s="2">
        <v>1628411749066</v>
      </c>
      <c r="BY34" s="2">
        <v>33</v>
      </c>
      <c r="BZ34" s="2">
        <v>242.77948617209961</v>
      </c>
      <c r="CA34" s="2">
        <v>1628411048276</v>
      </c>
      <c r="CB34" s="2"/>
      <c r="CC34" s="2"/>
      <c r="CD34" s="2"/>
      <c r="CE34" s="2"/>
      <c r="CF34" s="2">
        <v>37.337744999545727</v>
      </c>
      <c r="CG34" s="2">
        <v>-95.510501875514194</v>
      </c>
      <c r="CH34" s="2" t="s">
        <v>416</v>
      </c>
      <c r="CI34" s="2"/>
      <c r="CJ34" s="2">
        <v>1628411048276</v>
      </c>
      <c r="CK34" s="2" t="s">
        <v>184</v>
      </c>
      <c r="CL34" s="2" t="s">
        <v>185</v>
      </c>
    </row>
    <row r="35" spans="1:90" x14ac:dyDescent="0.25">
      <c r="A35" s="2" t="s">
        <v>171</v>
      </c>
      <c r="B35" s="2"/>
      <c r="C35" s="2" t="s">
        <v>150</v>
      </c>
      <c r="D35" s="2"/>
      <c r="E35" s="2"/>
      <c r="F35" s="2"/>
      <c r="G35" s="2"/>
      <c r="H35" s="2">
        <v>2376.9949999999999</v>
      </c>
      <c r="I35" s="2">
        <v>5486</v>
      </c>
      <c r="J35" s="2">
        <v>0</v>
      </c>
      <c r="K35" s="2">
        <v>5486</v>
      </c>
      <c r="L35" s="2"/>
      <c r="M35" s="2">
        <v>718276</v>
      </c>
      <c r="N35" s="2"/>
      <c r="O35" s="2"/>
      <c r="P35" s="2">
        <v>242.77948617209961</v>
      </c>
      <c r="Q35" s="2">
        <v>1628411052419</v>
      </c>
      <c r="R35" s="2">
        <v>17.979967860278595</v>
      </c>
      <c r="S35" s="2"/>
      <c r="T35" s="2" t="s">
        <v>422</v>
      </c>
      <c r="U35" s="2"/>
      <c r="V35" s="2">
        <v>37.337744999545727</v>
      </c>
      <c r="W35" s="2">
        <v>-95.510501875514194</v>
      </c>
      <c r="X35" s="2" t="s">
        <v>423</v>
      </c>
      <c r="Y35" s="2"/>
      <c r="Z35" s="2">
        <v>1628411052419</v>
      </c>
      <c r="AA35" s="2">
        <v>229.08</v>
      </c>
      <c r="AB35" s="2">
        <v>1628411794482</v>
      </c>
      <c r="AC35" s="2">
        <v>19.490436119372024</v>
      </c>
      <c r="AD35" s="2"/>
      <c r="AE35" s="2" t="s">
        <v>422</v>
      </c>
      <c r="AF35" s="2"/>
      <c r="AG35" s="2">
        <v>37.352451629999997</v>
      </c>
      <c r="AH35" s="2">
        <v>-95.530015809999995</v>
      </c>
      <c r="AI35" s="2" t="s">
        <v>423</v>
      </c>
      <c r="AJ35" s="2"/>
      <c r="AK35" s="2">
        <v>1628411770695</v>
      </c>
      <c r="AL35" s="2">
        <v>1</v>
      </c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 t="s">
        <v>424</v>
      </c>
      <c r="BA35" s="2" t="s">
        <v>423</v>
      </c>
      <c r="BB35" s="2" t="s">
        <v>175</v>
      </c>
      <c r="BC35" s="2"/>
      <c r="BD35" s="2"/>
      <c r="BE35" s="2"/>
      <c r="BF35" s="2" t="s">
        <v>176</v>
      </c>
      <c r="BG35" s="2" t="s">
        <v>425</v>
      </c>
      <c r="BH35" s="2" t="s">
        <v>426</v>
      </c>
      <c r="BI35" s="2">
        <v>117</v>
      </c>
      <c r="BJ35" s="2"/>
      <c r="BK35" s="2"/>
      <c r="BL35" s="2"/>
      <c r="BM35" s="2"/>
      <c r="BN35" s="2"/>
      <c r="BO35" s="2"/>
      <c r="BP35" s="2" t="s">
        <v>179</v>
      </c>
      <c r="BQ35" s="2" t="s">
        <v>180</v>
      </c>
      <c r="BR35" s="2" t="s">
        <v>181</v>
      </c>
      <c r="BS35" s="2"/>
      <c r="BT35" s="2" t="s">
        <v>427</v>
      </c>
      <c r="BU35" s="2" t="s">
        <v>428</v>
      </c>
      <c r="BV35" s="2" t="s">
        <v>152</v>
      </c>
      <c r="BW35" s="2" t="s">
        <v>422</v>
      </c>
      <c r="BX35" s="2">
        <v>1628411774808</v>
      </c>
      <c r="BY35" s="2">
        <v>34</v>
      </c>
      <c r="BZ35" s="2">
        <v>242.50987153952423</v>
      </c>
      <c r="CA35" s="2">
        <v>1628411046419</v>
      </c>
      <c r="CB35" s="2"/>
      <c r="CC35" s="2"/>
      <c r="CD35" s="2"/>
      <c r="CE35" s="2"/>
      <c r="CF35" s="2">
        <v>37.33773321738628</v>
      </c>
      <c r="CG35" s="2">
        <v>-95.510704686381203</v>
      </c>
      <c r="CH35" s="2" t="s">
        <v>423</v>
      </c>
      <c r="CI35" s="2"/>
      <c r="CJ35" s="2">
        <v>1628411052419</v>
      </c>
      <c r="CK35" s="2" t="s">
        <v>184</v>
      </c>
      <c r="CL35" s="2" t="s">
        <v>185</v>
      </c>
    </row>
    <row r="36" spans="1:90" x14ac:dyDescent="0.25">
      <c r="A36" s="2" t="s">
        <v>171</v>
      </c>
      <c r="B36" s="2">
        <v>1628411091081</v>
      </c>
      <c r="C36" s="2" t="s">
        <v>150</v>
      </c>
      <c r="D36" s="2"/>
      <c r="E36" s="2"/>
      <c r="F36" s="2"/>
      <c r="G36" s="2"/>
      <c r="H36" s="2">
        <v>73.563999999999993</v>
      </c>
      <c r="I36" s="2">
        <v>96</v>
      </c>
      <c r="J36" s="2">
        <v>0</v>
      </c>
      <c r="K36" s="2">
        <v>96</v>
      </c>
      <c r="L36" s="2"/>
      <c r="M36" s="2">
        <v>38002</v>
      </c>
      <c r="N36" s="2"/>
      <c r="O36" s="2">
        <v>1628411091081</v>
      </c>
      <c r="P36" s="2">
        <v>243.13469680577921</v>
      </c>
      <c r="Q36" s="2">
        <v>1628411053079</v>
      </c>
      <c r="R36" s="2">
        <v>17.979962265698024</v>
      </c>
      <c r="S36" s="2"/>
      <c r="T36" s="2" t="s">
        <v>429</v>
      </c>
      <c r="U36" s="2"/>
      <c r="V36" s="2">
        <v>37.337683620081776</v>
      </c>
      <c r="W36" s="2">
        <v>-95.509704042092281</v>
      </c>
      <c r="X36" s="2" t="s">
        <v>430</v>
      </c>
      <c r="Y36" s="2"/>
      <c r="Z36" s="2">
        <v>1628411053079</v>
      </c>
      <c r="AA36" s="2">
        <v>242.16689180453045</v>
      </c>
      <c r="AB36" s="2">
        <v>1628411089081</v>
      </c>
      <c r="AC36" s="2">
        <v>19.859073386652835</v>
      </c>
      <c r="AD36" s="2"/>
      <c r="AE36" s="2" t="s">
        <v>429</v>
      </c>
      <c r="AF36" s="2"/>
      <c r="AG36" s="2">
        <v>37.33716243579876</v>
      </c>
      <c r="AH36" s="2">
        <v>-95.51021644856506</v>
      </c>
      <c r="AI36" s="2" t="s">
        <v>430</v>
      </c>
      <c r="AJ36" s="2"/>
      <c r="AK36" s="2">
        <v>1628411091081</v>
      </c>
      <c r="AL36" s="2">
        <v>1</v>
      </c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 t="s">
        <v>431</v>
      </c>
      <c r="BA36" s="2" t="s">
        <v>430</v>
      </c>
      <c r="BB36" s="2" t="s">
        <v>189</v>
      </c>
      <c r="BC36" s="2"/>
      <c r="BD36" s="2"/>
      <c r="BE36" s="2"/>
      <c r="BF36" s="2" t="s">
        <v>190</v>
      </c>
      <c r="BG36" s="2" t="s">
        <v>432</v>
      </c>
      <c r="BH36" s="2" t="s">
        <v>433</v>
      </c>
      <c r="BI36" s="2">
        <v>6</v>
      </c>
      <c r="BJ36" s="2"/>
      <c r="BK36" s="2"/>
      <c r="BL36" s="2"/>
      <c r="BM36" s="2"/>
      <c r="BN36" s="2"/>
      <c r="BO36" s="2"/>
      <c r="BP36" s="2" t="s">
        <v>179</v>
      </c>
      <c r="BQ36" s="2" t="s">
        <v>193</v>
      </c>
      <c r="BR36" s="2" t="s">
        <v>194</v>
      </c>
      <c r="BS36" s="2"/>
      <c r="BT36" s="2" t="s">
        <v>434</v>
      </c>
      <c r="BU36" s="2" t="s">
        <v>435</v>
      </c>
      <c r="BV36" s="2" t="s">
        <v>152</v>
      </c>
      <c r="BW36" s="2" t="s">
        <v>429</v>
      </c>
      <c r="BX36" s="2">
        <v>1628411094525</v>
      </c>
      <c r="BY36" s="2">
        <v>35</v>
      </c>
      <c r="BZ36" s="2">
        <v>243.17387872042161</v>
      </c>
      <c r="CA36" s="2">
        <v>1628411047079</v>
      </c>
      <c r="CB36" s="2"/>
      <c r="CC36" s="2"/>
      <c r="CD36" s="2"/>
      <c r="CE36" s="2"/>
      <c r="CF36" s="2">
        <v>37.337833086025498</v>
      </c>
      <c r="CG36" s="2">
        <v>-95.509626448840663</v>
      </c>
      <c r="CH36" s="2" t="s">
        <v>430</v>
      </c>
      <c r="CI36" s="2"/>
      <c r="CJ36" s="2">
        <v>1628411053079</v>
      </c>
      <c r="CK36" s="2" t="s">
        <v>215</v>
      </c>
      <c r="CL36" s="2" t="s">
        <v>216</v>
      </c>
    </row>
    <row r="37" spans="1:90" x14ac:dyDescent="0.25">
      <c r="A37" s="2" t="s">
        <v>171</v>
      </c>
      <c r="B37" s="2"/>
      <c r="C37" s="2" t="s">
        <v>150</v>
      </c>
      <c r="D37" s="2"/>
      <c r="E37" s="2"/>
      <c r="F37" s="2"/>
      <c r="G37" s="2"/>
      <c r="H37" s="2">
        <v>177.744</v>
      </c>
      <c r="I37" s="2">
        <v>215</v>
      </c>
      <c r="J37" s="2">
        <v>0</v>
      </c>
      <c r="K37" s="2">
        <v>215</v>
      </c>
      <c r="L37" s="2"/>
      <c r="M37" s="2">
        <v>82006</v>
      </c>
      <c r="N37" s="2"/>
      <c r="O37" s="2"/>
      <c r="P37" s="2">
        <v>239.20345158495559</v>
      </c>
      <c r="Q37" s="2">
        <v>1628411069984</v>
      </c>
      <c r="R37" s="2">
        <v>17.254122936368272</v>
      </c>
      <c r="S37" s="2"/>
      <c r="T37" s="2" t="s">
        <v>436</v>
      </c>
      <c r="U37" s="2"/>
      <c r="V37" s="2">
        <v>37.334969705609659</v>
      </c>
      <c r="W37" s="2">
        <v>-95.533947722580564</v>
      </c>
      <c r="X37" s="2" t="s">
        <v>437</v>
      </c>
      <c r="Y37" s="2"/>
      <c r="Z37" s="2">
        <v>1628411057984</v>
      </c>
      <c r="AA37" s="2">
        <v>239.26164028933351</v>
      </c>
      <c r="AB37" s="2">
        <v>1628411135989</v>
      </c>
      <c r="AC37" s="2">
        <v>17.588364012510649</v>
      </c>
      <c r="AD37" s="2"/>
      <c r="AE37" s="2" t="s">
        <v>436</v>
      </c>
      <c r="AF37" s="2"/>
      <c r="AG37" s="2">
        <v>37.33350061678447</v>
      </c>
      <c r="AH37" s="2">
        <v>-95.5347401176669</v>
      </c>
      <c r="AI37" s="2" t="s">
        <v>437</v>
      </c>
      <c r="AJ37" s="2"/>
      <c r="AK37" s="2">
        <v>1628411139990</v>
      </c>
      <c r="AL37" s="2">
        <v>1</v>
      </c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 t="s">
        <v>438</v>
      </c>
      <c r="BA37" s="2" t="s">
        <v>437</v>
      </c>
      <c r="BB37" s="2" t="s">
        <v>189</v>
      </c>
      <c r="BC37" s="2"/>
      <c r="BD37" s="2"/>
      <c r="BE37" s="2"/>
      <c r="BF37" s="2" t="s">
        <v>190</v>
      </c>
      <c r="BG37" s="2" t="s">
        <v>439</v>
      </c>
      <c r="BH37" s="2" t="s">
        <v>440</v>
      </c>
      <c r="BI37" s="2">
        <v>12</v>
      </c>
      <c r="BJ37" s="2"/>
      <c r="BK37" s="2"/>
      <c r="BL37" s="2"/>
      <c r="BM37" s="2"/>
      <c r="BN37" s="2"/>
      <c r="BO37" s="2"/>
      <c r="BP37" s="2" t="s">
        <v>179</v>
      </c>
      <c r="BQ37" s="2" t="s">
        <v>285</v>
      </c>
      <c r="BR37" s="2" t="s">
        <v>286</v>
      </c>
      <c r="BS37" s="2"/>
      <c r="BT37" s="2" t="s">
        <v>441</v>
      </c>
      <c r="BU37" s="2" t="s">
        <v>442</v>
      </c>
      <c r="BV37" s="2" t="s">
        <v>152</v>
      </c>
      <c r="BW37" s="2" t="s">
        <v>436</v>
      </c>
      <c r="BX37" s="2">
        <v>1628411142513</v>
      </c>
      <c r="BY37" s="2">
        <v>36</v>
      </c>
      <c r="BZ37" s="2">
        <v>239.16593305560011</v>
      </c>
      <c r="CA37" s="2">
        <v>1628411053984</v>
      </c>
      <c r="CB37" s="2"/>
      <c r="CC37" s="2"/>
      <c r="CD37" s="2"/>
      <c r="CE37" s="2"/>
      <c r="CF37" s="2">
        <v>37.334929057483144</v>
      </c>
      <c r="CG37" s="2">
        <v>-95.533759381107643</v>
      </c>
      <c r="CH37" s="2" t="s">
        <v>437</v>
      </c>
      <c r="CI37" s="2"/>
      <c r="CJ37" s="2">
        <v>1628411057984</v>
      </c>
      <c r="CK37" s="2" t="s">
        <v>197</v>
      </c>
      <c r="CL37" s="2" t="s">
        <v>198</v>
      </c>
    </row>
    <row r="38" spans="1:90" x14ac:dyDescent="0.25">
      <c r="A38" s="2" t="s">
        <v>171</v>
      </c>
      <c r="B38" s="2">
        <v>1628411096254</v>
      </c>
      <c r="C38" s="2" t="s">
        <v>150</v>
      </c>
      <c r="D38" s="2"/>
      <c r="E38" s="2"/>
      <c r="F38" s="2"/>
      <c r="G38" s="2"/>
      <c r="H38" s="2">
        <v>70.016999999999996</v>
      </c>
      <c r="I38" s="2">
        <v>78</v>
      </c>
      <c r="J38" s="2">
        <v>0</v>
      </c>
      <c r="K38" s="2">
        <v>78</v>
      </c>
      <c r="L38" s="2"/>
      <c r="M38" s="2">
        <v>38002</v>
      </c>
      <c r="N38" s="2"/>
      <c r="O38" s="2">
        <v>1628411096254</v>
      </c>
      <c r="P38" s="2">
        <v>243.06815661925097</v>
      </c>
      <c r="Q38" s="2">
        <v>1628411070252</v>
      </c>
      <c r="R38" s="2">
        <v>3.9284646840453061</v>
      </c>
      <c r="S38" s="2"/>
      <c r="T38" s="2" t="s">
        <v>443</v>
      </c>
      <c r="U38" s="2"/>
      <c r="V38" s="2">
        <v>37.337667475217366</v>
      </c>
      <c r="W38" s="2">
        <v>-95.509743559277496</v>
      </c>
      <c r="X38" s="2" t="s">
        <v>444</v>
      </c>
      <c r="Y38" s="2"/>
      <c r="Z38" s="2">
        <v>1628411058252</v>
      </c>
      <c r="AA38" s="2">
        <v>242.16689180453045</v>
      </c>
      <c r="AB38" s="2">
        <v>1628411094254</v>
      </c>
      <c r="AC38" s="2">
        <v>19.859073386652835</v>
      </c>
      <c r="AD38" s="2"/>
      <c r="AE38" s="2" t="s">
        <v>443</v>
      </c>
      <c r="AF38" s="2"/>
      <c r="AG38" s="2">
        <v>37.33716243579876</v>
      </c>
      <c r="AH38" s="2">
        <v>-95.51021644856506</v>
      </c>
      <c r="AI38" s="2" t="s">
        <v>444</v>
      </c>
      <c r="AJ38" s="2"/>
      <c r="AK38" s="2">
        <v>1628411096254</v>
      </c>
      <c r="AL38" s="2">
        <v>1</v>
      </c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 t="s">
        <v>445</v>
      </c>
      <c r="BA38" s="2" t="s">
        <v>444</v>
      </c>
      <c r="BB38" s="2" t="s">
        <v>189</v>
      </c>
      <c r="BC38" s="2"/>
      <c r="BD38" s="2"/>
      <c r="BE38" s="2"/>
      <c r="BF38" s="2" t="s">
        <v>190</v>
      </c>
      <c r="BG38" s="2" t="s">
        <v>446</v>
      </c>
      <c r="BH38" s="2" t="s">
        <v>447</v>
      </c>
      <c r="BI38" s="2">
        <v>5</v>
      </c>
      <c r="BJ38" s="2"/>
      <c r="BK38" s="2"/>
      <c r="BL38" s="2"/>
      <c r="BM38" s="2"/>
      <c r="BN38" s="2"/>
      <c r="BO38" s="2"/>
      <c r="BP38" s="2" t="s">
        <v>179</v>
      </c>
      <c r="BQ38" s="2" t="s">
        <v>193</v>
      </c>
      <c r="BR38" s="2" t="s">
        <v>194</v>
      </c>
      <c r="BS38" s="2"/>
      <c r="BT38" s="2" t="s">
        <v>448</v>
      </c>
      <c r="BU38" s="2" t="s">
        <v>449</v>
      </c>
      <c r="BV38" s="2" t="s">
        <v>152</v>
      </c>
      <c r="BW38" s="2" t="s">
        <v>443</v>
      </c>
      <c r="BX38" s="2">
        <v>1628411097837</v>
      </c>
      <c r="BY38" s="2">
        <v>37</v>
      </c>
      <c r="BZ38" s="2">
        <v>243.13469680577921</v>
      </c>
      <c r="CA38" s="2">
        <v>1628411058252</v>
      </c>
      <c r="CB38" s="2"/>
      <c r="CC38" s="2"/>
      <c r="CD38" s="2"/>
      <c r="CE38" s="2"/>
      <c r="CF38" s="2">
        <v>37.337683620081776</v>
      </c>
      <c r="CG38" s="2">
        <v>-95.509704042092281</v>
      </c>
      <c r="CH38" s="2" t="s">
        <v>444</v>
      </c>
      <c r="CI38" s="2"/>
      <c r="CJ38" s="2">
        <v>1628411058252</v>
      </c>
      <c r="CK38" s="2" t="s">
        <v>215</v>
      </c>
      <c r="CL38" s="2" t="s">
        <v>216</v>
      </c>
    </row>
    <row r="39" spans="1:90" x14ac:dyDescent="0.25">
      <c r="A39" s="2" t="s">
        <v>171</v>
      </c>
      <c r="B39" s="2"/>
      <c r="C39" s="2" t="s">
        <v>150</v>
      </c>
      <c r="D39" s="2"/>
      <c r="E39" s="2"/>
      <c r="F39" s="2"/>
      <c r="G39" s="2"/>
      <c r="H39" s="2">
        <v>177.744</v>
      </c>
      <c r="I39" s="2">
        <v>215</v>
      </c>
      <c r="J39" s="2">
        <v>0</v>
      </c>
      <c r="K39" s="2">
        <v>215</v>
      </c>
      <c r="L39" s="2"/>
      <c r="M39" s="2">
        <v>82007</v>
      </c>
      <c r="N39" s="2"/>
      <c r="O39" s="2"/>
      <c r="P39" s="2">
        <v>239.20345158495559</v>
      </c>
      <c r="Q39" s="2">
        <v>1628411079078</v>
      </c>
      <c r="R39" s="2">
        <v>17.254122936368272</v>
      </c>
      <c r="S39" s="2"/>
      <c r="T39" s="2" t="s">
        <v>450</v>
      </c>
      <c r="U39" s="2"/>
      <c r="V39" s="2">
        <v>37.334969705609659</v>
      </c>
      <c r="W39" s="2">
        <v>-95.533947722580564</v>
      </c>
      <c r="X39" s="2" t="s">
        <v>451</v>
      </c>
      <c r="Y39" s="2"/>
      <c r="Z39" s="2">
        <v>1628411067078</v>
      </c>
      <c r="AA39" s="2">
        <v>239.26164028933351</v>
      </c>
      <c r="AB39" s="2">
        <v>1628411145085</v>
      </c>
      <c r="AC39" s="2">
        <v>17.588364012510649</v>
      </c>
      <c r="AD39" s="2"/>
      <c r="AE39" s="2" t="s">
        <v>450</v>
      </c>
      <c r="AF39" s="2"/>
      <c r="AG39" s="2">
        <v>37.33350061678447</v>
      </c>
      <c r="AH39" s="2">
        <v>-95.5347401176669</v>
      </c>
      <c r="AI39" s="2" t="s">
        <v>451</v>
      </c>
      <c r="AJ39" s="2"/>
      <c r="AK39" s="2">
        <v>1628411149085</v>
      </c>
      <c r="AL39" s="2">
        <v>1</v>
      </c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 t="s">
        <v>452</v>
      </c>
      <c r="BA39" s="2" t="s">
        <v>451</v>
      </c>
      <c r="BB39" s="2" t="s">
        <v>189</v>
      </c>
      <c r="BC39" s="2"/>
      <c r="BD39" s="2"/>
      <c r="BE39" s="2"/>
      <c r="BF39" s="2" t="s">
        <v>190</v>
      </c>
      <c r="BG39" s="2" t="s">
        <v>453</v>
      </c>
      <c r="BH39" s="2" t="s">
        <v>454</v>
      </c>
      <c r="BI39" s="2">
        <v>12</v>
      </c>
      <c r="BJ39" s="2"/>
      <c r="BK39" s="2"/>
      <c r="BL39" s="2"/>
      <c r="BM39" s="2"/>
      <c r="BN39" s="2"/>
      <c r="BO39" s="2"/>
      <c r="BP39" s="2" t="s">
        <v>179</v>
      </c>
      <c r="BQ39" s="2" t="s">
        <v>285</v>
      </c>
      <c r="BR39" s="2" t="s">
        <v>286</v>
      </c>
      <c r="BS39" s="2"/>
      <c r="BT39" s="2" t="s">
        <v>455</v>
      </c>
      <c r="BU39" s="2" t="s">
        <v>456</v>
      </c>
      <c r="BV39" s="2" t="s">
        <v>152</v>
      </c>
      <c r="BW39" s="2" t="s">
        <v>450</v>
      </c>
      <c r="BX39" s="2">
        <v>1628411150630</v>
      </c>
      <c r="BY39" s="2">
        <v>38</v>
      </c>
      <c r="BZ39" s="2">
        <v>239.16593305560011</v>
      </c>
      <c r="CA39" s="2">
        <v>1628411063078</v>
      </c>
      <c r="CB39" s="2"/>
      <c r="CC39" s="2"/>
      <c r="CD39" s="2"/>
      <c r="CE39" s="2"/>
      <c r="CF39" s="2">
        <v>37.334929057483144</v>
      </c>
      <c r="CG39" s="2">
        <v>-95.533759381107643</v>
      </c>
      <c r="CH39" s="2" t="s">
        <v>451</v>
      </c>
      <c r="CI39" s="2"/>
      <c r="CJ39" s="2">
        <v>1628411067078</v>
      </c>
      <c r="CK39" s="2" t="s">
        <v>197</v>
      </c>
      <c r="CL39" s="2" t="s">
        <v>198</v>
      </c>
    </row>
    <row r="40" spans="1:90" x14ac:dyDescent="0.25">
      <c r="A40" s="2" t="s">
        <v>171</v>
      </c>
      <c r="B40" s="2"/>
      <c r="C40" s="2" t="s">
        <v>150</v>
      </c>
      <c r="D40" s="2"/>
      <c r="E40" s="2"/>
      <c r="F40" s="2"/>
      <c r="G40" s="2"/>
      <c r="H40" s="2">
        <v>2364.835</v>
      </c>
      <c r="I40" s="2">
        <v>5449</v>
      </c>
      <c r="J40" s="2">
        <v>0</v>
      </c>
      <c r="K40" s="2">
        <v>5449</v>
      </c>
      <c r="L40" s="2"/>
      <c r="M40" s="2">
        <v>740873</v>
      </c>
      <c r="N40" s="2"/>
      <c r="O40" s="2"/>
      <c r="P40" s="2">
        <v>242.90379180037081</v>
      </c>
      <c r="Q40" s="2">
        <v>1628411110336</v>
      </c>
      <c r="R40" s="2">
        <v>8.2264690714642867</v>
      </c>
      <c r="S40" s="2"/>
      <c r="T40" s="2" t="s">
        <v>457</v>
      </c>
      <c r="U40" s="2"/>
      <c r="V40" s="2">
        <v>37.337784975899019</v>
      </c>
      <c r="W40" s="2">
        <v>-95.510423591244475</v>
      </c>
      <c r="X40" s="2" t="s">
        <v>458</v>
      </c>
      <c r="Y40" s="2"/>
      <c r="Z40" s="2">
        <v>1628411088335</v>
      </c>
      <c r="AA40" s="2">
        <v>232.04981030064999</v>
      </c>
      <c r="AB40" s="2">
        <v>1628411796390</v>
      </c>
      <c r="AC40" s="2">
        <v>16.814136354419173</v>
      </c>
      <c r="AD40" s="2"/>
      <c r="AE40" s="2" t="s">
        <v>457</v>
      </c>
      <c r="AF40" s="2"/>
      <c r="AG40" s="2">
        <v>37.352449871446879</v>
      </c>
      <c r="AH40" s="2">
        <v>-95.529797893254525</v>
      </c>
      <c r="AI40" s="2" t="s">
        <v>458</v>
      </c>
      <c r="AJ40" s="2"/>
      <c r="AK40" s="2">
        <v>1628411829208</v>
      </c>
      <c r="AL40" s="2">
        <v>1</v>
      </c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 t="s">
        <v>459</v>
      </c>
      <c r="BA40" s="2" t="s">
        <v>458</v>
      </c>
      <c r="BB40" s="2" t="s">
        <v>175</v>
      </c>
      <c r="BC40" s="2"/>
      <c r="BD40" s="2"/>
      <c r="BE40" s="2"/>
      <c r="BF40" s="2" t="s">
        <v>176</v>
      </c>
      <c r="BG40" s="2" t="s">
        <v>460</v>
      </c>
      <c r="BH40" s="2" t="s">
        <v>461</v>
      </c>
      <c r="BI40" s="2">
        <v>115</v>
      </c>
      <c r="BJ40" s="2"/>
      <c r="BK40" s="2"/>
      <c r="BL40" s="2"/>
      <c r="BM40" s="2"/>
      <c r="BN40" s="2"/>
      <c r="BO40" s="2"/>
      <c r="BP40" s="2" t="s">
        <v>179</v>
      </c>
      <c r="BQ40" s="2" t="s">
        <v>180</v>
      </c>
      <c r="BR40" s="2" t="s">
        <v>181</v>
      </c>
      <c r="BS40" s="2"/>
      <c r="BT40" s="2" t="s">
        <v>462</v>
      </c>
      <c r="BU40" s="2" t="s">
        <v>463</v>
      </c>
      <c r="BV40" s="2" t="s">
        <v>152</v>
      </c>
      <c r="BW40" s="2" t="s">
        <v>457</v>
      </c>
      <c r="BX40" s="2">
        <v>1628411832518</v>
      </c>
      <c r="BY40" s="2">
        <v>39</v>
      </c>
      <c r="BZ40" s="2">
        <v>242.77948617209961</v>
      </c>
      <c r="CA40" s="2">
        <v>1628411088335</v>
      </c>
      <c r="CB40" s="2"/>
      <c r="CC40" s="2"/>
      <c r="CD40" s="2"/>
      <c r="CE40" s="2"/>
      <c r="CF40" s="2">
        <v>37.337744999545727</v>
      </c>
      <c r="CG40" s="2">
        <v>-95.510501875514194</v>
      </c>
      <c r="CH40" s="2" t="s">
        <v>458</v>
      </c>
      <c r="CI40" s="2"/>
      <c r="CJ40" s="2">
        <v>1628411088335</v>
      </c>
      <c r="CK40" s="2" t="s">
        <v>184</v>
      </c>
      <c r="CL40" s="2" t="s">
        <v>185</v>
      </c>
    </row>
    <row r="41" spans="1:90" x14ac:dyDescent="0.25">
      <c r="A41" s="2" t="s">
        <v>171</v>
      </c>
      <c r="B41" s="2"/>
      <c r="C41" s="2" t="s">
        <v>150</v>
      </c>
      <c r="D41" s="2"/>
      <c r="E41" s="2"/>
      <c r="F41" s="2"/>
      <c r="G41" s="2"/>
      <c r="H41" s="2">
        <v>2376.9949999999999</v>
      </c>
      <c r="I41" s="2">
        <v>5486</v>
      </c>
      <c r="J41" s="2">
        <v>0</v>
      </c>
      <c r="K41" s="2">
        <v>5486</v>
      </c>
      <c r="L41" s="2"/>
      <c r="M41" s="2">
        <v>721569</v>
      </c>
      <c r="N41" s="2"/>
      <c r="O41" s="2"/>
      <c r="P41" s="2">
        <v>242.77948617209961</v>
      </c>
      <c r="Q41" s="2">
        <v>1628411088777</v>
      </c>
      <c r="R41" s="2">
        <v>17.979967860278595</v>
      </c>
      <c r="S41" s="2"/>
      <c r="T41" s="2" t="s">
        <v>464</v>
      </c>
      <c r="U41" s="2"/>
      <c r="V41" s="2">
        <v>37.337744999545727</v>
      </c>
      <c r="W41" s="2">
        <v>-95.510501875514194</v>
      </c>
      <c r="X41" s="2" t="s">
        <v>465</v>
      </c>
      <c r="Y41" s="2"/>
      <c r="Z41" s="2">
        <v>1628411088777</v>
      </c>
      <c r="AA41" s="2">
        <v>229.08</v>
      </c>
      <c r="AB41" s="2">
        <v>1628411830834</v>
      </c>
      <c r="AC41" s="2">
        <v>19.490436119372024</v>
      </c>
      <c r="AD41" s="2"/>
      <c r="AE41" s="2" t="s">
        <v>464</v>
      </c>
      <c r="AF41" s="2"/>
      <c r="AG41" s="2">
        <v>37.352451629999997</v>
      </c>
      <c r="AH41" s="2">
        <v>-95.530015809999995</v>
      </c>
      <c r="AI41" s="2" t="s">
        <v>465</v>
      </c>
      <c r="AJ41" s="2"/>
      <c r="AK41" s="2">
        <v>1628411810346</v>
      </c>
      <c r="AL41" s="2">
        <v>1</v>
      </c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 t="s">
        <v>466</v>
      </c>
      <c r="BA41" s="2" t="s">
        <v>465</v>
      </c>
      <c r="BB41" s="2" t="s">
        <v>175</v>
      </c>
      <c r="BC41" s="2"/>
      <c r="BD41" s="2"/>
      <c r="BE41" s="2"/>
      <c r="BF41" s="2" t="s">
        <v>176</v>
      </c>
      <c r="BG41" s="2" t="s">
        <v>467</v>
      </c>
      <c r="BH41" s="2" t="s">
        <v>468</v>
      </c>
      <c r="BI41" s="2">
        <v>117</v>
      </c>
      <c r="BJ41" s="2"/>
      <c r="BK41" s="2"/>
      <c r="BL41" s="2"/>
      <c r="BM41" s="2"/>
      <c r="BN41" s="2"/>
      <c r="BO41" s="2"/>
      <c r="BP41" s="2" t="s">
        <v>179</v>
      </c>
      <c r="BQ41" s="2" t="s">
        <v>180</v>
      </c>
      <c r="BR41" s="2" t="s">
        <v>181</v>
      </c>
      <c r="BS41" s="2"/>
      <c r="BT41" s="2" t="s">
        <v>469</v>
      </c>
      <c r="BU41" s="2" t="s">
        <v>470</v>
      </c>
      <c r="BV41" s="2" t="s">
        <v>152</v>
      </c>
      <c r="BW41" s="2" t="s">
        <v>464</v>
      </c>
      <c r="BX41" s="2">
        <v>1628411813284</v>
      </c>
      <c r="BY41" s="2">
        <v>40</v>
      </c>
      <c r="BZ41" s="2">
        <v>242.50987153952423</v>
      </c>
      <c r="CA41" s="2">
        <v>1628411082776</v>
      </c>
      <c r="CB41" s="2"/>
      <c r="CC41" s="2"/>
      <c r="CD41" s="2"/>
      <c r="CE41" s="2"/>
      <c r="CF41" s="2">
        <v>37.33773321738628</v>
      </c>
      <c r="CG41" s="2">
        <v>-95.510704686381203</v>
      </c>
      <c r="CH41" s="2" t="s">
        <v>465</v>
      </c>
      <c r="CI41" s="2"/>
      <c r="CJ41" s="2">
        <v>1628411088777</v>
      </c>
      <c r="CK41" s="2" t="s">
        <v>184</v>
      </c>
      <c r="CL41" s="2" t="s">
        <v>185</v>
      </c>
    </row>
    <row r="42" spans="1:90" x14ac:dyDescent="0.25">
      <c r="A42" s="2" t="s">
        <v>171</v>
      </c>
      <c r="B42" s="2"/>
      <c r="C42" s="2" t="s">
        <v>150</v>
      </c>
      <c r="D42" s="2"/>
      <c r="E42" s="2"/>
      <c r="F42" s="2"/>
      <c r="G42" s="2"/>
      <c r="H42" s="2">
        <v>177.744</v>
      </c>
      <c r="I42" s="2">
        <v>215</v>
      </c>
      <c r="J42" s="2">
        <v>0</v>
      </c>
      <c r="K42" s="2">
        <v>215</v>
      </c>
      <c r="L42" s="2"/>
      <c r="M42" s="2">
        <v>10000</v>
      </c>
      <c r="N42" s="2"/>
      <c r="O42" s="2"/>
      <c r="P42" s="2">
        <v>239.20345158495559</v>
      </c>
      <c r="Q42" s="2">
        <v>1628411100915</v>
      </c>
      <c r="R42" s="2">
        <v>17.254122936368272</v>
      </c>
      <c r="S42" s="2"/>
      <c r="T42" s="2" t="s">
        <v>471</v>
      </c>
      <c r="U42" s="2"/>
      <c r="V42" s="2">
        <v>37.334969705609659</v>
      </c>
      <c r="W42" s="2">
        <v>-95.533947722580564</v>
      </c>
      <c r="X42" s="2" t="s">
        <v>472</v>
      </c>
      <c r="Y42" s="2"/>
      <c r="Z42" s="2">
        <v>1628411088915</v>
      </c>
      <c r="AA42" s="2">
        <v>239.26164028933351</v>
      </c>
      <c r="AB42" s="2">
        <v>1628411166920</v>
      </c>
      <c r="AC42" s="2">
        <v>17.588364012510649</v>
      </c>
      <c r="AD42" s="2"/>
      <c r="AE42" s="2" t="s">
        <v>471</v>
      </c>
      <c r="AF42" s="2"/>
      <c r="AG42" s="2">
        <v>37.33350061678447</v>
      </c>
      <c r="AH42" s="2">
        <v>-95.5347401176669</v>
      </c>
      <c r="AI42" s="2" t="s">
        <v>472</v>
      </c>
      <c r="AJ42" s="2"/>
      <c r="AK42" s="2">
        <v>1628411098915</v>
      </c>
      <c r="AL42" s="2">
        <v>1</v>
      </c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 t="s">
        <v>473</v>
      </c>
      <c r="BA42" s="2" t="s">
        <v>472</v>
      </c>
      <c r="BB42" s="2" t="s">
        <v>202</v>
      </c>
      <c r="BC42" s="2"/>
      <c r="BD42" s="2"/>
      <c r="BE42" s="2"/>
      <c r="BF42" s="2" t="s">
        <v>203</v>
      </c>
      <c r="BG42" s="2" t="s">
        <v>474</v>
      </c>
      <c r="BH42" s="2" t="s">
        <v>475</v>
      </c>
      <c r="BI42" s="2">
        <v>12</v>
      </c>
      <c r="BJ42" s="2"/>
      <c r="BK42" s="2"/>
      <c r="BL42" s="2"/>
      <c r="BM42" s="2"/>
      <c r="BN42" s="2"/>
      <c r="BO42" s="2"/>
      <c r="BP42" s="2" t="s">
        <v>179</v>
      </c>
      <c r="BQ42" s="2" t="s">
        <v>285</v>
      </c>
      <c r="BR42" s="2" t="s">
        <v>286</v>
      </c>
      <c r="BS42" s="2"/>
      <c r="BT42" s="2" t="s">
        <v>476</v>
      </c>
      <c r="BU42" s="2" t="s">
        <v>477</v>
      </c>
      <c r="BV42" s="2" t="s">
        <v>152</v>
      </c>
      <c r="BW42" s="2" t="s">
        <v>471</v>
      </c>
      <c r="BX42" s="2">
        <v>1628411103044</v>
      </c>
      <c r="BY42" s="2">
        <v>41</v>
      </c>
      <c r="BZ42" s="2">
        <v>239.16593305560011</v>
      </c>
      <c r="CA42" s="2">
        <v>1628411084914</v>
      </c>
      <c r="CB42" s="2"/>
      <c r="CC42" s="2"/>
      <c r="CD42" s="2"/>
      <c r="CE42" s="2"/>
      <c r="CF42" s="2">
        <v>37.334929057483144</v>
      </c>
      <c r="CG42" s="2">
        <v>-95.533759381107643</v>
      </c>
      <c r="CH42" s="2" t="s">
        <v>472</v>
      </c>
      <c r="CI42" s="2"/>
      <c r="CJ42" s="2">
        <v>1628411088915</v>
      </c>
      <c r="CK42" s="2" t="s">
        <v>197</v>
      </c>
      <c r="CL42" s="2" t="s">
        <v>198</v>
      </c>
    </row>
    <row r="43" spans="1:90" x14ac:dyDescent="0.25">
      <c r="A43" s="2" t="s">
        <v>171</v>
      </c>
      <c r="B43" s="2">
        <v>1628411129983</v>
      </c>
      <c r="C43" s="2" t="s">
        <v>150</v>
      </c>
      <c r="D43" s="2"/>
      <c r="E43" s="2"/>
      <c r="F43" s="2"/>
      <c r="G43" s="2"/>
      <c r="H43" s="2">
        <v>70.016999999999996</v>
      </c>
      <c r="I43" s="2">
        <v>78</v>
      </c>
      <c r="J43" s="2">
        <v>0</v>
      </c>
      <c r="K43" s="2">
        <v>78</v>
      </c>
      <c r="L43" s="2"/>
      <c r="M43" s="2">
        <v>38002</v>
      </c>
      <c r="N43" s="2"/>
      <c r="O43" s="2">
        <v>1628411129983</v>
      </c>
      <c r="P43" s="2">
        <v>243.06815661925097</v>
      </c>
      <c r="Q43" s="2">
        <v>1628411103981</v>
      </c>
      <c r="R43" s="2">
        <v>3.9284646840453061</v>
      </c>
      <c r="S43" s="2"/>
      <c r="T43" s="2" t="s">
        <v>478</v>
      </c>
      <c r="U43" s="2"/>
      <c r="V43" s="2">
        <v>37.337667475217366</v>
      </c>
      <c r="W43" s="2">
        <v>-95.509743559277496</v>
      </c>
      <c r="X43" s="2" t="s">
        <v>479</v>
      </c>
      <c r="Y43" s="2"/>
      <c r="Z43" s="2">
        <v>1628411091981</v>
      </c>
      <c r="AA43" s="2">
        <v>242.16689180453045</v>
      </c>
      <c r="AB43" s="2">
        <v>1628411127983</v>
      </c>
      <c r="AC43" s="2">
        <v>19.859073386652835</v>
      </c>
      <c r="AD43" s="2"/>
      <c r="AE43" s="2" t="s">
        <v>478</v>
      </c>
      <c r="AF43" s="2"/>
      <c r="AG43" s="2">
        <v>37.33716243579876</v>
      </c>
      <c r="AH43" s="2">
        <v>-95.51021644856506</v>
      </c>
      <c r="AI43" s="2" t="s">
        <v>479</v>
      </c>
      <c r="AJ43" s="2"/>
      <c r="AK43" s="2">
        <v>1628411129983</v>
      </c>
      <c r="AL43" s="2">
        <v>1</v>
      </c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 t="s">
        <v>480</v>
      </c>
      <c r="BA43" s="2" t="s">
        <v>479</v>
      </c>
      <c r="BB43" s="2" t="s">
        <v>189</v>
      </c>
      <c r="BC43" s="2"/>
      <c r="BD43" s="2"/>
      <c r="BE43" s="2"/>
      <c r="BF43" s="2" t="s">
        <v>190</v>
      </c>
      <c r="BG43" s="2" t="s">
        <v>481</v>
      </c>
      <c r="BH43" s="2" t="s">
        <v>482</v>
      </c>
      <c r="BI43" s="2">
        <v>5</v>
      </c>
      <c r="BJ43" s="2"/>
      <c r="BK43" s="2"/>
      <c r="BL43" s="2"/>
      <c r="BM43" s="2"/>
      <c r="BN43" s="2"/>
      <c r="BO43" s="2"/>
      <c r="BP43" s="2" t="s">
        <v>179</v>
      </c>
      <c r="BQ43" s="2" t="s">
        <v>193</v>
      </c>
      <c r="BR43" s="2" t="s">
        <v>194</v>
      </c>
      <c r="BS43" s="2"/>
      <c r="BT43" s="2" t="s">
        <v>483</v>
      </c>
      <c r="BU43" s="2" t="s">
        <v>484</v>
      </c>
      <c r="BV43" s="2" t="s">
        <v>152</v>
      </c>
      <c r="BW43" s="2" t="s">
        <v>478</v>
      </c>
      <c r="BX43" s="2">
        <v>1628411134496</v>
      </c>
      <c r="BY43" s="2">
        <v>42</v>
      </c>
      <c r="BZ43" s="2">
        <v>243.13469680577921</v>
      </c>
      <c r="CA43" s="2">
        <v>1628411091980</v>
      </c>
      <c r="CB43" s="2"/>
      <c r="CC43" s="2"/>
      <c r="CD43" s="2"/>
      <c r="CE43" s="2"/>
      <c r="CF43" s="2">
        <v>37.337683620081776</v>
      </c>
      <c r="CG43" s="2">
        <v>-95.509704042092281</v>
      </c>
      <c r="CH43" s="2" t="s">
        <v>479</v>
      </c>
      <c r="CI43" s="2"/>
      <c r="CJ43" s="2">
        <v>1628411091981</v>
      </c>
      <c r="CK43" s="2" t="s">
        <v>215</v>
      </c>
      <c r="CL43" s="2" t="s">
        <v>216</v>
      </c>
    </row>
    <row r="44" spans="1:90" x14ac:dyDescent="0.25">
      <c r="A44" s="2" t="s">
        <v>171</v>
      </c>
      <c r="B44" s="2"/>
      <c r="C44" s="2" t="s">
        <v>150</v>
      </c>
      <c r="D44" s="2"/>
      <c r="E44" s="2"/>
      <c r="F44" s="2"/>
      <c r="G44" s="2"/>
      <c r="H44" s="2">
        <v>2378.973</v>
      </c>
      <c r="I44" s="2">
        <v>5468</v>
      </c>
      <c r="J44" s="2">
        <v>0</v>
      </c>
      <c r="K44" s="2">
        <v>5468</v>
      </c>
      <c r="L44" s="2"/>
      <c r="M44" s="2">
        <v>662399</v>
      </c>
      <c r="N44" s="2"/>
      <c r="O44" s="2"/>
      <c r="P44" s="2">
        <v>242.90379180037081</v>
      </c>
      <c r="Q44" s="2">
        <v>1628411122280</v>
      </c>
      <c r="R44" s="2">
        <v>8.2264690714642867</v>
      </c>
      <c r="S44" s="2"/>
      <c r="T44" s="2" t="s">
        <v>485</v>
      </c>
      <c r="U44" s="2"/>
      <c r="V44" s="2">
        <v>37.337784975899019</v>
      </c>
      <c r="W44" s="2">
        <v>-95.510423591244475</v>
      </c>
      <c r="X44" s="2" t="s">
        <v>486</v>
      </c>
      <c r="Y44" s="2"/>
      <c r="Z44" s="2">
        <v>1628411100280</v>
      </c>
      <c r="AA44" s="2">
        <v>229.08</v>
      </c>
      <c r="AB44" s="2">
        <v>1628411842330</v>
      </c>
      <c r="AC44" s="2">
        <v>19.490436119372024</v>
      </c>
      <c r="AD44" s="2"/>
      <c r="AE44" s="2" t="s">
        <v>485</v>
      </c>
      <c r="AF44" s="2"/>
      <c r="AG44" s="2">
        <v>37.352451629999997</v>
      </c>
      <c r="AH44" s="2">
        <v>-95.530015809999995</v>
      </c>
      <c r="AI44" s="2" t="s">
        <v>486</v>
      </c>
      <c r="AJ44" s="2"/>
      <c r="AK44" s="2">
        <v>1628411762679</v>
      </c>
      <c r="AL44" s="2">
        <v>1</v>
      </c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 t="s">
        <v>487</v>
      </c>
      <c r="BA44" s="2" t="s">
        <v>486</v>
      </c>
      <c r="BB44" s="2" t="s">
        <v>175</v>
      </c>
      <c r="BC44" s="2"/>
      <c r="BD44" s="2"/>
      <c r="BE44" s="2"/>
      <c r="BF44" s="2" t="s">
        <v>176</v>
      </c>
      <c r="BG44" s="2" t="s">
        <v>488</v>
      </c>
      <c r="BH44" s="2" t="s">
        <v>489</v>
      </c>
      <c r="BI44" s="2">
        <v>116</v>
      </c>
      <c r="BJ44" s="2"/>
      <c r="BK44" s="2"/>
      <c r="BL44" s="2"/>
      <c r="BM44" s="2"/>
      <c r="BN44" s="2"/>
      <c r="BO44" s="2"/>
      <c r="BP44" s="2" t="s">
        <v>179</v>
      </c>
      <c r="BQ44" s="2" t="s">
        <v>180</v>
      </c>
      <c r="BR44" s="2" t="s">
        <v>181</v>
      </c>
      <c r="BS44" s="2"/>
      <c r="BT44" s="2" t="s">
        <v>490</v>
      </c>
      <c r="BU44" s="2" t="s">
        <v>491</v>
      </c>
      <c r="BV44" s="2" t="s">
        <v>152</v>
      </c>
      <c r="BW44" s="2" t="s">
        <v>485</v>
      </c>
      <c r="BX44" s="2">
        <v>1628411768395</v>
      </c>
      <c r="BY44" s="2">
        <v>43</v>
      </c>
      <c r="BZ44" s="2">
        <v>242.77948617209961</v>
      </c>
      <c r="CA44" s="2">
        <v>1628411100280</v>
      </c>
      <c r="CB44" s="2"/>
      <c r="CC44" s="2"/>
      <c r="CD44" s="2"/>
      <c r="CE44" s="2"/>
      <c r="CF44" s="2">
        <v>37.337744999545727</v>
      </c>
      <c r="CG44" s="2">
        <v>-95.510501875514194</v>
      </c>
      <c r="CH44" s="2" t="s">
        <v>486</v>
      </c>
      <c r="CI44" s="2"/>
      <c r="CJ44" s="2">
        <v>1628411100280</v>
      </c>
      <c r="CK44" s="2" t="s">
        <v>184</v>
      </c>
      <c r="CL44" s="2" t="s">
        <v>185</v>
      </c>
    </row>
    <row r="45" spans="1:90" x14ac:dyDescent="0.25">
      <c r="A45" s="2" t="s">
        <v>171</v>
      </c>
      <c r="B45" s="2">
        <v>1628411152024</v>
      </c>
      <c r="C45" s="2" t="s">
        <v>150</v>
      </c>
      <c r="D45" s="2"/>
      <c r="E45" s="2"/>
      <c r="F45" s="2"/>
      <c r="G45" s="2"/>
      <c r="H45" s="2">
        <v>73.563999999999993</v>
      </c>
      <c r="I45" s="2">
        <v>96</v>
      </c>
      <c r="J45" s="2">
        <v>0</v>
      </c>
      <c r="K45" s="2">
        <v>96</v>
      </c>
      <c r="L45" s="2"/>
      <c r="M45" s="2">
        <v>38002</v>
      </c>
      <c r="N45" s="2"/>
      <c r="O45" s="2">
        <v>1628411152024</v>
      </c>
      <c r="P45" s="2">
        <v>243.13469680577921</v>
      </c>
      <c r="Q45" s="2">
        <v>1628411114022</v>
      </c>
      <c r="R45" s="2">
        <v>17.979962265698024</v>
      </c>
      <c r="S45" s="2"/>
      <c r="T45" s="2" t="s">
        <v>492</v>
      </c>
      <c r="U45" s="2"/>
      <c r="V45" s="2">
        <v>37.337683620081776</v>
      </c>
      <c r="W45" s="2">
        <v>-95.509704042092281</v>
      </c>
      <c r="X45" s="2" t="s">
        <v>493</v>
      </c>
      <c r="Y45" s="2"/>
      <c r="Z45" s="2">
        <v>1628411114022</v>
      </c>
      <c r="AA45" s="2">
        <v>242.16689180453045</v>
      </c>
      <c r="AB45" s="2">
        <v>1628411150024</v>
      </c>
      <c r="AC45" s="2">
        <v>19.859073386652835</v>
      </c>
      <c r="AD45" s="2"/>
      <c r="AE45" s="2" t="s">
        <v>492</v>
      </c>
      <c r="AF45" s="2"/>
      <c r="AG45" s="2">
        <v>37.33716243579876</v>
      </c>
      <c r="AH45" s="2">
        <v>-95.51021644856506</v>
      </c>
      <c r="AI45" s="2" t="s">
        <v>493</v>
      </c>
      <c r="AJ45" s="2"/>
      <c r="AK45" s="2">
        <v>1628411152024</v>
      </c>
      <c r="AL45" s="2">
        <v>1</v>
      </c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 t="s">
        <v>494</v>
      </c>
      <c r="BA45" s="2" t="s">
        <v>493</v>
      </c>
      <c r="BB45" s="2" t="s">
        <v>189</v>
      </c>
      <c r="BC45" s="2"/>
      <c r="BD45" s="2"/>
      <c r="BE45" s="2"/>
      <c r="BF45" s="2" t="s">
        <v>190</v>
      </c>
      <c r="BG45" s="2" t="s">
        <v>495</v>
      </c>
      <c r="BH45" s="2" t="s">
        <v>496</v>
      </c>
      <c r="BI45" s="2">
        <v>6</v>
      </c>
      <c r="BJ45" s="2"/>
      <c r="BK45" s="2"/>
      <c r="BL45" s="2"/>
      <c r="BM45" s="2"/>
      <c r="BN45" s="2"/>
      <c r="BO45" s="2"/>
      <c r="BP45" s="2" t="s">
        <v>179</v>
      </c>
      <c r="BQ45" s="2" t="s">
        <v>193</v>
      </c>
      <c r="BR45" s="2" t="s">
        <v>194</v>
      </c>
      <c r="BS45" s="2"/>
      <c r="BT45" s="2" t="s">
        <v>497</v>
      </c>
      <c r="BU45" s="2" t="s">
        <v>498</v>
      </c>
      <c r="BV45" s="2" t="s">
        <v>152</v>
      </c>
      <c r="BW45" s="2" t="s">
        <v>492</v>
      </c>
      <c r="BX45" s="2">
        <v>1628411156932</v>
      </c>
      <c r="BY45" s="2">
        <v>44</v>
      </c>
      <c r="BZ45" s="2">
        <v>243.17387872042161</v>
      </c>
      <c r="CA45" s="2">
        <v>1628411108020</v>
      </c>
      <c r="CB45" s="2"/>
      <c r="CC45" s="2"/>
      <c r="CD45" s="2"/>
      <c r="CE45" s="2"/>
      <c r="CF45" s="2">
        <v>37.337833086025498</v>
      </c>
      <c r="CG45" s="2">
        <v>-95.509626448840663</v>
      </c>
      <c r="CH45" s="2" t="s">
        <v>493</v>
      </c>
      <c r="CI45" s="2"/>
      <c r="CJ45" s="2">
        <v>1628411114022</v>
      </c>
      <c r="CK45" s="2" t="s">
        <v>215</v>
      </c>
      <c r="CL45" s="2" t="s">
        <v>216</v>
      </c>
    </row>
    <row r="46" spans="1:90" x14ac:dyDescent="0.25">
      <c r="A46" s="2" t="s">
        <v>171</v>
      </c>
      <c r="B46" s="2"/>
      <c r="C46" s="2" t="s">
        <v>150</v>
      </c>
      <c r="D46" s="2"/>
      <c r="E46" s="2"/>
      <c r="F46" s="2"/>
      <c r="G46" s="2"/>
      <c r="H46" s="2">
        <v>2378.973</v>
      </c>
      <c r="I46" s="2">
        <v>5468</v>
      </c>
      <c r="J46" s="2">
        <v>0</v>
      </c>
      <c r="K46" s="2">
        <v>5468</v>
      </c>
      <c r="L46" s="2"/>
      <c r="M46" s="2">
        <v>622633</v>
      </c>
      <c r="N46" s="2"/>
      <c r="O46" s="2"/>
      <c r="P46" s="2">
        <v>242.90379180037081</v>
      </c>
      <c r="Q46" s="2">
        <v>1628411145714</v>
      </c>
      <c r="R46" s="2">
        <v>8.2264690714642867</v>
      </c>
      <c r="S46" s="2"/>
      <c r="T46" s="2" t="s">
        <v>499</v>
      </c>
      <c r="U46" s="2"/>
      <c r="V46" s="2">
        <v>37.337784975899019</v>
      </c>
      <c r="W46" s="2">
        <v>-95.510423591244475</v>
      </c>
      <c r="X46" s="2" t="s">
        <v>500</v>
      </c>
      <c r="Y46" s="2"/>
      <c r="Z46" s="2">
        <v>1628411123714</v>
      </c>
      <c r="AA46" s="2">
        <v>229.08</v>
      </c>
      <c r="AB46" s="2">
        <v>1628411865775</v>
      </c>
      <c r="AC46" s="2">
        <v>19.490436119372024</v>
      </c>
      <c r="AD46" s="2"/>
      <c r="AE46" s="2" t="s">
        <v>499</v>
      </c>
      <c r="AF46" s="2"/>
      <c r="AG46" s="2">
        <v>37.352451629999997</v>
      </c>
      <c r="AH46" s="2">
        <v>-95.530015809999995</v>
      </c>
      <c r="AI46" s="2" t="s">
        <v>500</v>
      </c>
      <c r="AJ46" s="2"/>
      <c r="AK46" s="2">
        <v>1628411746347</v>
      </c>
      <c r="AL46" s="2">
        <v>1</v>
      </c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 t="s">
        <v>501</v>
      </c>
      <c r="BA46" s="2" t="s">
        <v>500</v>
      </c>
      <c r="BB46" s="2" t="s">
        <v>175</v>
      </c>
      <c r="BC46" s="2"/>
      <c r="BD46" s="2"/>
      <c r="BE46" s="2"/>
      <c r="BF46" s="2" t="s">
        <v>176</v>
      </c>
      <c r="BG46" s="2" t="s">
        <v>502</v>
      </c>
      <c r="BH46" s="2" t="s">
        <v>503</v>
      </c>
      <c r="BI46" s="2">
        <v>116</v>
      </c>
      <c r="BJ46" s="2"/>
      <c r="BK46" s="2"/>
      <c r="BL46" s="2"/>
      <c r="BM46" s="2"/>
      <c r="BN46" s="2"/>
      <c r="BO46" s="2"/>
      <c r="BP46" s="2" t="s">
        <v>179</v>
      </c>
      <c r="BQ46" s="2" t="s">
        <v>180</v>
      </c>
      <c r="BR46" s="2" t="s">
        <v>181</v>
      </c>
      <c r="BS46" s="2"/>
      <c r="BT46" s="2" t="s">
        <v>504</v>
      </c>
      <c r="BU46" s="2" t="s">
        <v>505</v>
      </c>
      <c r="BV46" s="2" t="s">
        <v>152</v>
      </c>
      <c r="BW46" s="2" t="s">
        <v>499</v>
      </c>
      <c r="BX46" s="2">
        <v>1628411749064</v>
      </c>
      <c r="BY46" s="2">
        <v>45</v>
      </c>
      <c r="BZ46" s="2">
        <v>242.77948617209961</v>
      </c>
      <c r="CA46" s="2">
        <v>1628411123714</v>
      </c>
      <c r="CB46" s="2"/>
      <c r="CC46" s="2"/>
      <c r="CD46" s="2"/>
      <c r="CE46" s="2"/>
      <c r="CF46" s="2">
        <v>37.337744999545727</v>
      </c>
      <c r="CG46" s="2">
        <v>-95.510501875514194</v>
      </c>
      <c r="CH46" s="2" t="s">
        <v>500</v>
      </c>
      <c r="CI46" s="2"/>
      <c r="CJ46" s="2">
        <v>1628411123714</v>
      </c>
      <c r="CK46" s="2" t="s">
        <v>184</v>
      </c>
      <c r="CL46" s="2" t="s">
        <v>185</v>
      </c>
    </row>
    <row r="47" spans="1:90" x14ac:dyDescent="0.25">
      <c r="A47" s="2" t="s">
        <v>171</v>
      </c>
      <c r="B47" s="2"/>
      <c r="C47" s="2" t="s">
        <v>150</v>
      </c>
      <c r="D47" s="2"/>
      <c r="E47" s="2"/>
      <c r="F47" s="2"/>
      <c r="G47" s="2"/>
      <c r="H47" s="2">
        <v>2378.973</v>
      </c>
      <c r="I47" s="2">
        <v>5468</v>
      </c>
      <c r="J47" s="2">
        <v>0</v>
      </c>
      <c r="K47" s="2">
        <v>5468</v>
      </c>
      <c r="L47" s="2"/>
      <c r="M47" s="2">
        <v>642454</v>
      </c>
      <c r="N47" s="2"/>
      <c r="O47" s="2"/>
      <c r="P47" s="2">
        <v>242.90379180037081</v>
      </c>
      <c r="Q47" s="2">
        <v>1628411149286</v>
      </c>
      <c r="R47" s="2">
        <v>8.2264690714642867</v>
      </c>
      <c r="S47" s="2"/>
      <c r="T47" s="2" t="s">
        <v>506</v>
      </c>
      <c r="U47" s="2"/>
      <c r="V47" s="2">
        <v>37.337784975899019</v>
      </c>
      <c r="W47" s="2">
        <v>-95.510423591244475</v>
      </c>
      <c r="X47" s="2" t="s">
        <v>507</v>
      </c>
      <c r="Y47" s="2"/>
      <c r="Z47" s="2">
        <v>1628411127285</v>
      </c>
      <c r="AA47" s="2">
        <v>229.08</v>
      </c>
      <c r="AB47" s="2">
        <v>1628411869336</v>
      </c>
      <c r="AC47" s="2">
        <v>19.490436119372024</v>
      </c>
      <c r="AD47" s="2"/>
      <c r="AE47" s="2" t="s">
        <v>506</v>
      </c>
      <c r="AF47" s="2"/>
      <c r="AG47" s="2">
        <v>37.352451629999997</v>
      </c>
      <c r="AH47" s="2">
        <v>-95.530015809999995</v>
      </c>
      <c r="AI47" s="2" t="s">
        <v>507</v>
      </c>
      <c r="AJ47" s="2"/>
      <c r="AK47" s="2">
        <v>1628411769739</v>
      </c>
      <c r="AL47" s="2">
        <v>1</v>
      </c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 t="s">
        <v>508</v>
      </c>
      <c r="BA47" s="2" t="s">
        <v>507</v>
      </c>
      <c r="BB47" s="2" t="s">
        <v>175</v>
      </c>
      <c r="BC47" s="2"/>
      <c r="BD47" s="2"/>
      <c r="BE47" s="2"/>
      <c r="BF47" s="2" t="s">
        <v>176</v>
      </c>
      <c r="BG47" s="2" t="s">
        <v>509</v>
      </c>
      <c r="BH47" s="2" t="s">
        <v>510</v>
      </c>
      <c r="BI47" s="2">
        <v>116</v>
      </c>
      <c r="BJ47" s="2"/>
      <c r="BK47" s="2"/>
      <c r="BL47" s="2"/>
      <c r="BM47" s="2"/>
      <c r="BN47" s="2"/>
      <c r="BO47" s="2"/>
      <c r="BP47" s="2" t="s">
        <v>179</v>
      </c>
      <c r="BQ47" s="2" t="s">
        <v>180</v>
      </c>
      <c r="BR47" s="2" t="s">
        <v>181</v>
      </c>
      <c r="BS47" s="2"/>
      <c r="BT47" s="2" t="s">
        <v>511</v>
      </c>
      <c r="BU47" s="2" t="s">
        <v>512</v>
      </c>
      <c r="BV47" s="2" t="s">
        <v>152</v>
      </c>
      <c r="BW47" s="2" t="s">
        <v>506</v>
      </c>
      <c r="BX47" s="2">
        <v>1628411774805</v>
      </c>
      <c r="BY47" s="2">
        <v>46</v>
      </c>
      <c r="BZ47" s="2">
        <v>242.77948617209961</v>
      </c>
      <c r="CA47" s="2">
        <v>1628411127285</v>
      </c>
      <c r="CB47" s="2"/>
      <c r="CC47" s="2"/>
      <c r="CD47" s="2"/>
      <c r="CE47" s="2"/>
      <c r="CF47" s="2">
        <v>37.337744999545727</v>
      </c>
      <c r="CG47" s="2">
        <v>-95.510501875514194</v>
      </c>
      <c r="CH47" s="2" t="s">
        <v>507</v>
      </c>
      <c r="CI47" s="2"/>
      <c r="CJ47" s="2">
        <v>1628411127285</v>
      </c>
      <c r="CK47" s="2" t="s">
        <v>184</v>
      </c>
      <c r="CL47" s="2" t="s">
        <v>185</v>
      </c>
    </row>
    <row r="48" spans="1:90" x14ac:dyDescent="0.25">
      <c r="A48" s="2" t="s">
        <v>171</v>
      </c>
      <c r="B48" s="2"/>
      <c r="C48" s="2" t="s">
        <v>150</v>
      </c>
      <c r="D48" s="2"/>
      <c r="E48" s="2"/>
      <c r="F48" s="2"/>
      <c r="G48" s="2"/>
      <c r="H48" s="2">
        <v>177.744</v>
      </c>
      <c r="I48" s="2">
        <v>215</v>
      </c>
      <c r="J48" s="2">
        <v>0</v>
      </c>
      <c r="K48" s="2">
        <v>215</v>
      </c>
      <c r="L48" s="2"/>
      <c r="M48" s="2">
        <v>82005</v>
      </c>
      <c r="N48" s="2"/>
      <c r="O48" s="2"/>
      <c r="P48" s="2">
        <v>239.20345158495559</v>
      </c>
      <c r="Q48" s="2">
        <v>1628411140621</v>
      </c>
      <c r="R48" s="2">
        <v>17.254122936368272</v>
      </c>
      <c r="S48" s="2"/>
      <c r="T48" s="2" t="s">
        <v>513</v>
      </c>
      <c r="U48" s="2"/>
      <c r="V48" s="2">
        <v>37.334969705609659</v>
      </c>
      <c r="W48" s="2">
        <v>-95.533947722580564</v>
      </c>
      <c r="X48" s="2" t="s">
        <v>514</v>
      </c>
      <c r="Y48" s="2"/>
      <c r="Z48" s="2">
        <v>1628411128620</v>
      </c>
      <c r="AA48" s="2">
        <v>239.26164028933351</v>
      </c>
      <c r="AB48" s="2">
        <v>1628411206625</v>
      </c>
      <c r="AC48" s="2">
        <v>17.588364012510649</v>
      </c>
      <c r="AD48" s="2"/>
      <c r="AE48" s="2" t="s">
        <v>513</v>
      </c>
      <c r="AF48" s="2"/>
      <c r="AG48" s="2">
        <v>37.33350061678447</v>
      </c>
      <c r="AH48" s="2">
        <v>-95.5347401176669</v>
      </c>
      <c r="AI48" s="2" t="s">
        <v>514</v>
      </c>
      <c r="AJ48" s="2"/>
      <c r="AK48" s="2">
        <v>1628411210625</v>
      </c>
      <c r="AL48" s="2">
        <v>1</v>
      </c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 t="s">
        <v>515</v>
      </c>
      <c r="BA48" s="2" t="s">
        <v>514</v>
      </c>
      <c r="BB48" s="2" t="s">
        <v>202</v>
      </c>
      <c r="BC48" s="2"/>
      <c r="BD48" s="2"/>
      <c r="BE48" s="2"/>
      <c r="BF48" s="2" t="s">
        <v>203</v>
      </c>
      <c r="BG48" s="2" t="s">
        <v>516</v>
      </c>
      <c r="BH48" s="2" t="s">
        <v>517</v>
      </c>
      <c r="BI48" s="2">
        <v>12</v>
      </c>
      <c r="BJ48" s="2"/>
      <c r="BK48" s="2"/>
      <c r="BL48" s="2"/>
      <c r="BM48" s="2"/>
      <c r="BN48" s="2"/>
      <c r="BO48" s="2"/>
      <c r="BP48" s="2" t="s">
        <v>179</v>
      </c>
      <c r="BQ48" s="2" t="s">
        <v>285</v>
      </c>
      <c r="BR48" s="2" t="s">
        <v>286</v>
      </c>
      <c r="BS48" s="2"/>
      <c r="BT48" s="2" t="s">
        <v>518</v>
      </c>
      <c r="BU48" s="2" t="s">
        <v>519</v>
      </c>
      <c r="BV48" s="2" t="s">
        <v>152</v>
      </c>
      <c r="BW48" s="2" t="s">
        <v>513</v>
      </c>
      <c r="BX48" s="2">
        <v>1628411213033</v>
      </c>
      <c r="BY48" s="2">
        <v>47</v>
      </c>
      <c r="BZ48" s="2">
        <v>239.16593305560011</v>
      </c>
      <c r="CA48" s="2">
        <v>1628411124620</v>
      </c>
      <c r="CB48" s="2"/>
      <c r="CC48" s="2"/>
      <c r="CD48" s="2"/>
      <c r="CE48" s="2"/>
      <c r="CF48" s="2">
        <v>37.334929057483144</v>
      </c>
      <c r="CG48" s="2">
        <v>-95.533759381107643</v>
      </c>
      <c r="CH48" s="2" t="s">
        <v>514</v>
      </c>
      <c r="CI48" s="2"/>
      <c r="CJ48" s="2">
        <v>1628411128620</v>
      </c>
      <c r="CK48" s="2" t="s">
        <v>197</v>
      </c>
      <c r="CL48" s="2" t="s">
        <v>198</v>
      </c>
    </row>
    <row r="49" spans="1:90" x14ac:dyDescent="0.25">
      <c r="A49" s="2" t="s">
        <v>171</v>
      </c>
      <c r="B49" s="2">
        <v>1628411167985</v>
      </c>
      <c r="C49" s="2" t="s">
        <v>150</v>
      </c>
      <c r="D49" s="2"/>
      <c r="E49" s="2"/>
      <c r="F49" s="2"/>
      <c r="G49" s="2"/>
      <c r="H49" s="2">
        <v>73.563999999999993</v>
      </c>
      <c r="I49" s="2">
        <v>96</v>
      </c>
      <c r="J49" s="2">
        <v>0</v>
      </c>
      <c r="K49" s="2">
        <v>96</v>
      </c>
      <c r="L49" s="2"/>
      <c r="M49" s="2">
        <v>38002</v>
      </c>
      <c r="N49" s="2"/>
      <c r="O49" s="2">
        <v>1628411167985</v>
      </c>
      <c r="P49" s="2">
        <v>243.13469680577921</v>
      </c>
      <c r="Q49" s="2">
        <v>1628411129983</v>
      </c>
      <c r="R49" s="2">
        <v>17.979962265698024</v>
      </c>
      <c r="S49" s="2"/>
      <c r="T49" s="2" t="s">
        <v>520</v>
      </c>
      <c r="U49" s="2"/>
      <c r="V49" s="2">
        <v>37.337683620081776</v>
      </c>
      <c r="W49" s="2">
        <v>-95.509704042092281</v>
      </c>
      <c r="X49" s="2" t="s">
        <v>521</v>
      </c>
      <c r="Y49" s="2"/>
      <c r="Z49" s="2">
        <v>1628411129983</v>
      </c>
      <c r="AA49" s="2">
        <v>242.16689180453045</v>
      </c>
      <c r="AB49" s="2">
        <v>1628411165985</v>
      </c>
      <c r="AC49" s="2">
        <v>19.859073386652835</v>
      </c>
      <c r="AD49" s="2"/>
      <c r="AE49" s="2" t="s">
        <v>520</v>
      </c>
      <c r="AF49" s="2"/>
      <c r="AG49" s="2">
        <v>37.33716243579876</v>
      </c>
      <c r="AH49" s="2">
        <v>-95.51021644856506</v>
      </c>
      <c r="AI49" s="2" t="s">
        <v>521</v>
      </c>
      <c r="AJ49" s="2"/>
      <c r="AK49" s="2">
        <v>1628411167985</v>
      </c>
      <c r="AL49" s="2">
        <v>1</v>
      </c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 t="s">
        <v>522</v>
      </c>
      <c r="BA49" s="2" t="s">
        <v>521</v>
      </c>
      <c r="BB49" s="2" t="s">
        <v>189</v>
      </c>
      <c r="BC49" s="2"/>
      <c r="BD49" s="2"/>
      <c r="BE49" s="2"/>
      <c r="BF49" s="2" t="s">
        <v>190</v>
      </c>
      <c r="BG49" s="2" t="s">
        <v>523</v>
      </c>
      <c r="BH49" s="2" t="s">
        <v>524</v>
      </c>
      <c r="BI49" s="2">
        <v>6</v>
      </c>
      <c r="BJ49" s="2"/>
      <c r="BK49" s="2"/>
      <c r="BL49" s="2"/>
      <c r="BM49" s="2"/>
      <c r="BN49" s="2"/>
      <c r="BO49" s="2"/>
      <c r="BP49" s="2" t="s">
        <v>179</v>
      </c>
      <c r="BQ49" s="2" t="s">
        <v>193</v>
      </c>
      <c r="BR49" s="2" t="s">
        <v>194</v>
      </c>
      <c r="BS49" s="2"/>
      <c r="BT49" s="2" t="s">
        <v>525</v>
      </c>
      <c r="BU49" s="2" t="s">
        <v>526</v>
      </c>
      <c r="BV49" s="2" t="s">
        <v>152</v>
      </c>
      <c r="BW49" s="2" t="s">
        <v>520</v>
      </c>
      <c r="BX49" s="2">
        <v>1628411173069</v>
      </c>
      <c r="BY49" s="2">
        <v>48</v>
      </c>
      <c r="BZ49" s="2">
        <v>243.17387872042161</v>
      </c>
      <c r="CA49" s="2">
        <v>1628411123983</v>
      </c>
      <c r="CB49" s="2"/>
      <c r="CC49" s="2"/>
      <c r="CD49" s="2"/>
      <c r="CE49" s="2"/>
      <c r="CF49" s="2">
        <v>37.337833086025498</v>
      </c>
      <c r="CG49" s="2">
        <v>-95.509626448840663</v>
      </c>
      <c r="CH49" s="2" t="s">
        <v>521</v>
      </c>
      <c r="CI49" s="2"/>
      <c r="CJ49" s="2">
        <v>1628411129983</v>
      </c>
      <c r="CK49" s="2" t="s">
        <v>215</v>
      </c>
      <c r="CL49" s="2" t="s">
        <v>216</v>
      </c>
    </row>
    <row r="50" spans="1:90" x14ac:dyDescent="0.25">
      <c r="A50" s="2" t="s">
        <v>171</v>
      </c>
      <c r="B50" s="2"/>
      <c r="C50" s="2" t="s">
        <v>150</v>
      </c>
      <c r="D50" s="2"/>
      <c r="E50" s="2"/>
      <c r="F50" s="2"/>
      <c r="G50" s="2"/>
      <c r="H50" s="2">
        <v>177.744</v>
      </c>
      <c r="I50" s="2">
        <v>215</v>
      </c>
      <c r="J50" s="2">
        <v>0</v>
      </c>
      <c r="K50" s="2">
        <v>215</v>
      </c>
      <c r="L50" s="2"/>
      <c r="M50" s="2">
        <v>82007</v>
      </c>
      <c r="N50" s="2"/>
      <c r="O50" s="2"/>
      <c r="P50" s="2">
        <v>239.20345158495559</v>
      </c>
      <c r="Q50" s="2">
        <v>1628411159539</v>
      </c>
      <c r="R50" s="2">
        <v>17.254122936368272</v>
      </c>
      <c r="S50" s="2"/>
      <c r="T50" s="2" t="s">
        <v>527</v>
      </c>
      <c r="U50" s="2"/>
      <c r="V50" s="2">
        <v>37.334969705609659</v>
      </c>
      <c r="W50" s="2">
        <v>-95.533947722580564</v>
      </c>
      <c r="X50" s="2" t="s">
        <v>528</v>
      </c>
      <c r="Y50" s="2"/>
      <c r="Z50" s="2">
        <v>1628411147538</v>
      </c>
      <c r="AA50" s="2">
        <v>239.26164028933351</v>
      </c>
      <c r="AB50" s="2">
        <v>1628411225544</v>
      </c>
      <c r="AC50" s="2">
        <v>17.588364012510649</v>
      </c>
      <c r="AD50" s="2"/>
      <c r="AE50" s="2" t="s">
        <v>527</v>
      </c>
      <c r="AF50" s="2"/>
      <c r="AG50" s="2">
        <v>37.33350061678447</v>
      </c>
      <c r="AH50" s="2">
        <v>-95.5347401176669</v>
      </c>
      <c r="AI50" s="2" t="s">
        <v>528</v>
      </c>
      <c r="AJ50" s="2"/>
      <c r="AK50" s="2">
        <v>1628411229545</v>
      </c>
      <c r="AL50" s="2">
        <v>1</v>
      </c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 t="s">
        <v>529</v>
      </c>
      <c r="BA50" s="2" t="s">
        <v>528</v>
      </c>
      <c r="BB50" s="2" t="s">
        <v>189</v>
      </c>
      <c r="BC50" s="2"/>
      <c r="BD50" s="2"/>
      <c r="BE50" s="2"/>
      <c r="BF50" s="2" t="s">
        <v>190</v>
      </c>
      <c r="BG50" s="2" t="s">
        <v>530</v>
      </c>
      <c r="BH50" s="2" t="s">
        <v>531</v>
      </c>
      <c r="BI50" s="2">
        <v>12</v>
      </c>
      <c r="BJ50" s="2"/>
      <c r="BK50" s="2"/>
      <c r="BL50" s="2"/>
      <c r="BM50" s="2"/>
      <c r="BN50" s="2"/>
      <c r="BO50" s="2"/>
      <c r="BP50" s="2" t="s">
        <v>179</v>
      </c>
      <c r="BQ50" s="2" t="s">
        <v>285</v>
      </c>
      <c r="BR50" s="2" t="s">
        <v>286</v>
      </c>
      <c r="BS50" s="2"/>
      <c r="BT50" s="2" t="s">
        <v>532</v>
      </c>
      <c r="BU50" s="2" t="s">
        <v>533</v>
      </c>
      <c r="BV50" s="2" t="s">
        <v>152</v>
      </c>
      <c r="BW50" s="2" t="s">
        <v>527</v>
      </c>
      <c r="BX50" s="2">
        <v>1628411234174</v>
      </c>
      <c r="BY50" s="2">
        <v>49</v>
      </c>
      <c r="BZ50" s="2">
        <v>239.16593305560011</v>
      </c>
      <c r="CA50" s="2">
        <v>1628411143538</v>
      </c>
      <c r="CB50" s="2"/>
      <c r="CC50" s="2"/>
      <c r="CD50" s="2"/>
      <c r="CE50" s="2"/>
      <c r="CF50" s="2">
        <v>37.334929057483144</v>
      </c>
      <c r="CG50" s="2">
        <v>-95.533759381107643</v>
      </c>
      <c r="CH50" s="2" t="s">
        <v>528</v>
      </c>
      <c r="CI50" s="2"/>
      <c r="CJ50" s="2">
        <v>1628411147538</v>
      </c>
      <c r="CK50" s="2" t="s">
        <v>197</v>
      </c>
      <c r="CL50" s="2" t="s">
        <v>198</v>
      </c>
    </row>
    <row r="51" spans="1:90" x14ac:dyDescent="0.25">
      <c r="A51" s="2" t="s">
        <v>171</v>
      </c>
      <c r="B51" s="2">
        <v>1628411185984</v>
      </c>
      <c r="C51" s="2" t="s">
        <v>150</v>
      </c>
      <c r="D51" s="2"/>
      <c r="E51" s="2"/>
      <c r="F51" s="2"/>
      <c r="G51" s="2"/>
      <c r="H51" s="2">
        <v>70.016999999999996</v>
      </c>
      <c r="I51" s="2">
        <v>78</v>
      </c>
      <c r="J51" s="2">
        <v>0</v>
      </c>
      <c r="K51" s="2">
        <v>78</v>
      </c>
      <c r="L51" s="2"/>
      <c r="M51" s="2">
        <v>38002</v>
      </c>
      <c r="N51" s="2"/>
      <c r="O51" s="2">
        <v>1628411185984</v>
      </c>
      <c r="P51" s="2">
        <v>243.06815661925097</v>
      </c>
      <c r="Q51" s="2">
        <v>1628411159982</v>
      </c>
      <c r="R51" s="2">
        <v>3.9284646840453061</v>
      </c>
      <c r="S51" s="2"/>
      <c r="T51" s="2" t="s">
        <v>534</v>
      </c>
      <c r="U51" s="2"/>
      <c r="V51" s="2">
        <v>37.337667475217366</v>
      </c>
      <c r="W51" s="2">
        <v>-95.509743559277496</v>
      </c>
      <c r="X51" s="2" t="s">
        <v>535</v>
      </c>
      <c r="Y51" s="2"/>
      <c r="Z51" s="2">
        <v>1628411147982</v>
      </c>
      <c r="AA51" s="2">
        <v>242.16689180453045</v>
      </c>
      <c r="AB51" s="2">
        <v>1628411183984</v>
      </c>
      <c r="AC51" s="2">
        <v>19.859073386652835</v>
      </c>
      <c r="AD51" s="2"/>
      <c r="AE51" s="2" t="s">
        <v>534</v>
      </c>
      <c r="AF51" s="2"/>
      <c r="AG51" s="2">
        <v>37.33716243579876</v>
      </c>
      <c r="AH51" s="2">
        <v>-95.51021644856506</v>
      </c>
      <c r="AI51" s="2" t="s">
        <v>535</v>
      </c>
      <c r="AJ51" s="2"/>
      <c r="AK51" s="2">
        <v>1628411185984</v>
      </c>
      <c r="AL51" s="2">
        <v>1</v>
      </c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 t="s">
        <v>536</v>
      </c>
      <c r="BA51" s="2" t="s">
        <v>535</v>
      </c>
      <c r="BB51" s="2" t="s">
        <v>189</v>
      </c>
      <c r="BC51" s="2"/>
      <c r="BD51" s="2"/>
      <c r="BE51" s="2"/>
      <c r="BF51" s="2" t="s">
        <v>190</v>
      </c>
      <c r="BG51" s="2" t="s">
        <v>537</v>
      </c>
      <c r="BH51" s="2" t="s">
        <v>538</v>
      </c>
      <c r="BI51" s="2">
        <v>5</v>
      </c>
      <c r="BJ51" s="2"/>
      <c r="BK51" s="2"/>
      <c r="BL51" s="2"/>
      <c r="BM51" s="2"/>
      <c r="BN51" s="2"/>
      <c r="BO51" s="2"/>
      <c r="BP51" s="2" t="s">
        <v>179</v>
      </c>
      <c r="BQ51" s="2" t="s">
        <v>193</v>
      </c>
      <c r="BR51" s="2" t="s">
        <v>194</v>
      </c>
      <c r="BS51" s="2"/>
      <c r="BT51" s="2" t="s">
        <v>539</v>
      </c>
      <c r="BU51" s="2" t="s">
        <v>540</v>
      </c>
      <c r="BV51" s="2" t="s">
        <v>152</v>
      </c>
      <c r="BW51" s="2" t="s">
        <v>534</v>
      </c>
      <c r="BX51" s="2">
        <v>1628411190587</v>
      </c>
      <c r="BY51" s="2">
        <v>50</v>
      </c>
      <c r="BZ51" s="2">
        <v>243.13469680577921</v>
      </c>
      <c r="CA51" s="2">
        <v>1628411147981</v>
      </c>
      <c r="CB51" s="2"/>
      <c r="CC51" s="2"/>
      <c r="CD51" s="2"/>
      <c r="CE51" s="2"/>
      <c r="CF51" s="2">
        <v>37.337683620081776</v>
      </c>
      <c r="CG51" s="2">
        <v>-95.509704042092281</v>
      </c>
      <c r="CH51" s="2" t="s">
        <v>535</v>
      </c>
      <c r="CI51" s="2"/>
      <c r="CJ51" s="2">
        <v>1628411147982</v>
      </c>
      <c r="CK51" s="2" t="s">
        <v>215</v>
      </c>
      <c r="CL51" s="2" t="s">
        <v>216</v>
      </c>
    </row>
    <row r="52" spans="1:90" x14ac:dyDescent="0.25">
      <c r="A52" s="2" t="s">
        <v>171</v>
      </c>
      <c r="B52" s="2">
        <v>1628411187140</v>
      </c>
      <c r="C52" s="2" t="s">
        <v>150</v>
      </c>
      <c r="D52" s="2"/>
      <c r="E52" s="2"/>
      <c r="F52" s="2"/>
      <c r="G52" s="2"/>
      <c r="H52" s="2">
        <v>70.016999999999996</v>
      </c>
      <c r="I52" s="2">
        <v>78</v>
      </c>
      <c r="J52" s="2">
        <v>0</v>
      </c>
      <c r="K52" s="2">
        <v>78</v>
      </c>
      <c r="L52" s="2"/>
      <c r="M52" s="2">
        <v>38003</v>
      </c>
      <c r="N52" s="2"/>
      <c r="O52" s="2">
        <v>1628411187140</v>
      </c>
      <c r="P52" s="2">
        <v>243.06815661925097</v>
      </c>
      <c r="Q52" s="2">
        <v>1628411161138</v>
      </c>
      <c r="R52" s="2">
        <v>3.9284646840453061</v>
      </c>
      <c r="S52" s="2"/>
      <c r="T52" s="2" t="s">
        <v>541</v>
      </c>
      <c r="U52" s="2"/>
      <c r="V52" s="2">
        <v>37.337667475217366</v>
      </c>
      <c r="W52" s="2">
        <v>-95.509743559277496</v>
      </c>
      <c r="X52" s="2" t="s">
        <v>542</v>
      </c>
      <c r="Y52" s="2"/>
      <c r="Z52" s="2">
        <v>1628411149137</v>
      </c>
      <c r="AA52" s="2">
        <v>242.16689180453045</v>
      </c>
      <c r="AB52" s="2">
        <v>1628411185139</v>
      </c>
      <c r="AC52" s="2">
        <v>19.859073386652835</v>
      </c>
      <c r="AD52" s="2"/>
      <c r="AE52" s="2" t="s">
        <v>541</v>
      </c>
      <c r="AF52" s="2"/>
      <c r="AG52" s="2">
        <v>37.33716243579876</v>
      </c>
      <c r="AH52" s="2">
        <v>-95.51021644856506</v>
      </c>
      <c r="AI52" s="2" t="s">
        <v>542</v>
      </c>
      <c r="AJ52" s="2"/>
      <c r="AK52" s="2">
        <v>1628411187140</v>
      </c>
      <c r="AL52" s="2">
        <v>1</v>
      </c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 t="s">
        <v>543</v>
      </c>
      <c r="BA52" s="2" t="s">
        <v>542</v>
      </c>
      <c r="BB52" s="2" t="s">
        <v>189</v>
      </c>
      <c r="BC52" s="2"/>
      <c r="BD52" s="2"/>
      <c r="BE52" s="2"/>
      <c r="BF52" s="2" t="s">
        <v>190</v>
      </c>
      <c r="BG52" s="2" t="s">
        <v>544</v>
      </c>
      <c r="BH52" s="2" t="s">
        <v>545</v>
      </c>
      <c r="BI52" s="2">
        <v>5</v>
      </c>
      <c r="BJ52" s="2"/>
      <c r="BK52" s="2"/>
      <c r="BL52" s="2"/>
      <c r="BM52" s="2"/>
      <c r="BN52" s="2"/>
      <c r="BO52" s="2"/>
      <c r="BP52" s="2" t="s">
        <v>179</v>
      </c>
      <c r="BQ52" s="2" t="s">
        <v>193</v>
      </c>
      <c r="BR52" s="2" t="s">
        <v>194</v>
      </c>
      <c r="BS52" s="2"/>
      <c r="BT52" s="2" t="s">
        <v>546</v>
      </c>
      <c r="BU52" s="2" t="s">
        <v>547</v>
      </c>
      <c r="BV52" s="2" t="s">
        <v>152</v>
      </c>
      <c r="BW52" s="2" t="s">
        <v>541</v>
      </c>
      <c r="BX52" s="2">
        <v>1628411188994</v>
      </c>
      <c r="BY52" s="2">
        <v>51</v>
      </c>
      <c r="BZ52" s="2">
        <v>243.13469680577921</v>
      </c>
      <c r="CA52" s="2">
        <v>1628411149137</v>
      </c>
      <c r="CB52" s="2"/>
      <c r="CC52" s="2"/>
      <c r="CD52" s="2"/>
      <c r="CE52" s="2"/>
      <c r="CF52" s="2">
        <v>37.337683620081776</v>
      </c>
      <c r="CG52" s="2">
        <v>-95.509704042092281</v>
      </c>
      <c r="CH52" s="2" t="s">
        <v>542</v>
      </c>
      <c r="CI52" s="2"/>
      <c r="CJ52" s="2">
        <v>1628411149137</v>
      </c>
      <c r="CK52" s="2" t="s">
        <v>215</v>
      </c>
      <c r="CL52" s="2" t="s">
        <v>216</v>
      </c>
    </row>
    <row r="53" spans="1:90" x14ac:dyDescent="0.25">
      <c r="A53" s="2" t="s">
        <v>171</v>
      </c>
      <c r="B53" s="2"/>
      <c r="C53" s="2" t="s">
        <v>150</v>
      </c>
      <c r="D53" s="2"/>
      <c r="E53" s="2"/>
      <c r="F53" s="2"/>
      <c r="G53" s="2"/>
      <c r="H53" s="2">
        <v>2362.902</v>
      </c>
      <c r="I53" s="2">
        <v>5467</v>
      </c>
      <c r="J53" s="2">
        <v>0</v>
      </c>
      <c r="K53" s="2">
        <v>5467</v>
      </c>
      <c r="L53" s="2"/>
      <c r="M53" s="2">
        <v>685290</v>
      </c>
      <c r="N53" s="2"/>
      <c r="O53" s="2"/>
      <c r="P53" s="2">
        <v>242.77948617209961</v>
      </c>
      <c r="Q53" s="2">
        <v>1628411154784</v>
      </c>
      <c r="R53" s="2">
        <v>17.979967860278595</v>
      </c>
      <c r="S53" s="2"/>
      <c r="T53" s="2" t="s">
        <v>548</v>
      </c>
      <c r="U53" s="2"/>
      <c r="V53" s="2">
        <v>37.337744999545727</v>
      </c>
      <c r="W53" s="2">
        <v>-95.510501875514194</v>
      </c>
      <c r="X53" s="2" t="s">
        <v>549</v>
      </c>
      <c r="Y53" s="2"/>
      <c r="Z53" s="2">
        <v>1628411154784</v>
      </c>
      <c r="AA53" s="2">
        <v>232.04981030064999</v>
      </c>
      <c r="AB53" s="2">
        <v>1628411862835</v>
      </c>
      <c r="AC53" s="2">
        <v>16.814136354419173</v>
      </c>
      <c r="AD53" s="2"/>
      <c r="AE53" s="2" t="s">
        <v>548</v>
      </c>
      <c r="AF53" s="2"/>
      <c r="AG53" s="2">
        <v>37.352449871446879</v>
      </c>
      <c r="AH53" s="2">
        <v>-95.529797893254525</v>
      </c>
      <c r="AI53" s="2" t="s">
        <v>549</v>
      </c>
      <c r="AJ53" s="2"/>
      <c r="AK53" s="2">
        <v>1628411840074</v>
      </c>
      <c r="AL53" s="2">
        <v>1</v>
      </c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 t="s">
        <v>550</v>
      </c>
      <c r="BA53" s="2" t="s">
        <v>549</v>
      </c>
      <c r="BB53" s="2" t="s">
        <v>175</v>
      </c>
      <c r="BC53" s="2"/>
      <c r="BD53" s="2"/>
      <c r="BE53" s="2"/>
      <c r="BF53" s="2" t="s">
        <v>176</v>
      </c>
      <c r="BG53" s="2" t="s">
        <v>551</v>
      </c>
      <c r="BH53" s="2" t="s">
        <v>552</v>
      </c>
      <c r="BI53" s="2">
        <v>116</v>
      </c>
      <c r="BJ53" s="2"/>
      <c r="BK53" s="2"/>
      <c r="BL53" s="2"/>
      <c r="BM53" s="2"/>
      <c r="BN53" s="2"/>
      <c r="BO53" s="2"/>
      <c r="BP53" s="2" t="s">
        <v>179</v>
      </c>
      <c r="BQ53" s="2" t="s">
        <v>180</v>
      </c>
      <c r="BR53" s="2" t="s">
        <v>181</v>
      </c>
      <c r="BS53" s="2"/>
      <c r="BT53" s="2" t="s">
        <v>553</v>
      </c>
      <c r="BU53" s="2" t="s">
        <v>554</v>
      </c>
      <c r="BV53" s="2" t="s">
        <v>152</v>
      </c>
      <c r="BW53" s="2" t="s">
        <v>548</v>
      </c>
      <c r="BX53" s="2">
        <v>1628411845236</v>
      </c>
      <c r="BY53" s="2">
        <v>52</v>
      </c>
      <c r="BZ53" s="2">
        <v>242.50987153952423</v>
      </c>
      <c r="CA53" s="2">
        <v>1628411148784</v>
      </c>
      <c r="CB53" s="2"/>
      <c r="CC53" s="2"/>
      <c r="CD53" s="2"/>
      <c r="CE53" s="2"/>
      <c r="CF53" s="2">
        <v>37.33773321738628</v>
      </c>
      <c r="CG53" s="2">
        <v>-95.510704686381203</v>
      </c>
      <c r="CH53" s="2" t="s">
        <v>549</v>
      </c>
      <c r="CI53" s="2"/>
      <c r="CJ53" s="2">
        <v>1628411154784</v>
      </c>
      <c r="CK53" s="2" t="s">
        <v>184</v>
      </c>
      <c r="CL53" s="2" t="s">
        <v>185</v>
      </c>
    </row>
    <row r="54" spans="1:90" x14ac:dyDescent="0.25">
      <c r="A54" s="2" t="s">
        <v>171</v>
      </c>
      <c r="B54" s="2"/>
      <c r="C54" s="2" t="s">
        <v>150</v>
      </c>
      <c r="D54" s="2"/>
      <c r="E54" s="2"/>
      <c r="F54" s="2"/>
      <c r="G54" s="2"/>
      <c r="H54" s="2">
        <v>2362.902</v>
      </c>
      <c r="I54" s="2">
        <v>5467</v>
      </c>
      <c r="J54" s="2">
        <v>0</v>
      </c>
      <c r="K54" s="2">
        <v>5467</v>
      </c>
      <c r="L54" s="2"/>
      <c r="M54" s="2">
        <v>665347</v>
      </c>
      <c r="N54" s="2"/>
      <c r="O54" s="2"/>
      <c r="P54" s="2">
        <v>242.77948617209961</v>
      </c>
      <c r="Q54" s="2">
        <v>1628411155500</v>
      </c>
      <c r="R54" s="2">
        <v>17.979967860278595</v>
      </c>
      <c r="S54" s="2"/>
      <c r="T54" s="2" t="s">
        <v>555</v>
      </c>
      <c r="U54" s="2"/>
      <c r="V54" s="2">
        <v>37.337744999545727</v>
      </c>
      <c r="W54" s="2">
        <v>-95.510501875514194</v>
      </c>
      <c r="X54" s="2" t="s">
        <v>556</v>
      </c>
      <c r="Y54" s="2"/>
      <c r="Z54" s="2">
        <v>1628411155500</v>
      </c>
      <c r="AA54" s="2">
        <v>232.04981030064999</v>
      </c>
      <c r="AB54" s="2">
        <v>1628411863555</v>
      </c>
      <c r="AC54" s="2">
        <v>16.814136354419173</v>
      </c>
      <c r="AD54" s="2"/>
      <c r="AE54" s="2" t="s">
        <v>555</v>
      </c>
      <c r="AF54" s="2"/>
      <c r="AG54" s="2">
        <v>37.352449871446879</v>
      </c>
      <c r="AH54" s="2">
        <v>-95.529797893254525</v>
      </c>
      <c r="AI54" s="2" t="s">
        <v>556</v>
      </c>
      <c r="AJ54" s="2"/>
      <c r="AK54" s="2">
        <v>1628411820847</v>
      </c>
      <c r="AL54" s="2">
        <v>1</v>
      </c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 t="s">
        <v>557</v>
      </c>
      <c r="BA54" s="2" t="s">
        <v>556</v>
      </c>
      <c r="BB54" s="2" t="s">
        <v>175</v>
      </c>
      <c r="BC54" s="2"/>
      <c r="BD54" s="2"/>
      <c r="BE54" s="2"/>
      <c r="BF54" s="2" t="s">
        <v>176</v>
      </c>
      <c r="BG54" s="2" t="s">
        <v>558</v>
      </c>
      <c r="BH54" s="2" t="s">
        <v>559</v>
      </c>
      <c r="BI54" s="2">
        <v>116</v>
      </c>
      <c r="BJ54" s="2"/>
      <c r="BK54" s="2"/>
      <c r="BL54" s="2"/>
      <c r="BM54" s="2"/>
      <c r="BN54" s="2"/>
      <c r="BO54" s="2"/>
      <c r="BP54" s="2" t="s">
        <v>179</v>
      </c>
      <c r="BQ54" s="2" t="s">
        <v>180</v>
      </c>
      <c r="BR54" s="2" t="s">
        <v>181</v>
      </c>
      <c r="BS54" s="2"/>
      <c r="BT54" s="2" t="s">
        <v>560</v>
      </c>
      <c r="BU54" s="2" t="s">
        <v>561</v>
      </c>
      <c r="BV54" s="2" t="s">
        <v>152</v>
      </c>
      <c r="BW54" s="2" t="s">
        <v>555</v>
      </c>
      <c r="BX54" s="2">
        <v>1628411825992</v>
      </c>
      <c r="BY54" s="2">
        <v>53</v>
      </c>
      <c r="BZ54" s="2">
        <v>242.50987153952423</v>
      </c>
      <c r="CA54" s="2">
        <v>1628411149500</v>
      </c>
      <c r="CB54" s="2"/>
      <c r="CC54" s="2"/>
      <c r="CD54" s="2"/>
      <c r="CE54" s="2"/>
      <c r="CF54" s="2">
        <v>37.33773321738628</v>
      </c>
      <c r="CG54" s="2">
        <v>-95.510704686381203</v>
      </c>
      <c r="CH54" s="2" t="s">
        <v>556</v>
      </c>
      <c r="CI54" s="2"/>
      <c r="CJ54" s="2">
        <v>1628411155500</v>
      </c>
      <c r="CK54" s="2" t="s">
        <v>184</v>
      </c>
      <c r="CL54" s="2" t="s">
        <v>185</v>
      </c>
    </row>
    <row r="55" spans="1:90" x14ac:dyDescent="0.25">
      <c r="A55" s="2" t="s">
        <v>171</v>
      </c>
      <c r="B55" s="2"/>
      <c r="C55" s="2" t="s">
        <v>150</v>
      </c>
      <c r="D55" s="2"/>
      <c r="E55" s="2"/>
      <c r="F55" s="2"/>
      <c r="G55" s="2"/>
      <c r="H55" s="2">
        <v>2362.902</v>
      </c>
      <c r="I55" s="2">
        <v>5467</v>
      </c>
      <c r="J55" s="2">
        <v>0</v>
      </c>
      <c r="K55" s="2">
        <v>5467</v>
      </c>
      <c r="L55" s="2"/>
      <c r="M55" s="2">
        <v>645347</v>
      </c>
      <c r="N55" s="2"/>
      <c r="O55" s="2"/>
      <c r="P55" s="2">
        <v>242.77948617209961</v>
      </c>
      <c r="Q55" s="2">
        <v>1628411161292</v>
      </c>
      <c r="R55" s="2">
        <v>17.979967860278595</v>
      </c>
      <c r="S55" s="2"/>
      <c r="T55" s="2" t="s">
        <v>562</v>
      </c>
      <c r="U55" s="2"/>
      <c r="V55" s="2">
        <v>37.337744999545727</v>
      </c>
      <c r="W55" s="2">
        <v>-95.510501875514194</v>
      </c>
      <c r="X55" s="2" t="s">
        <v>563</v>
      </c>
      <c r="Y55" s="2"/>
      <c r="Z55" s="2">
        <v>1628411161292</v>
      </c>
      <c r="AA55" s="2">
        <v>232.04981030064999</v>
      </c>
      <c r="AB55" s="2">
        <v>1628411869339</v>
      </c>
      <c r="AC55" s="2">
        <v>16.814136354419173</v>
      </c>
      <c r="AD55" s="2"/>
      <c r="AE55" s="2" t="s">
        <v>562</v>
      </c>
      <c r="AF55" s="2"/>
      <c r="AG55" s="2">
        <v>37.352449871446879</v>
      </c>
      <c r="AH55" s="2">
        <v>-95.529797893254525</v>
      </c>
      <c r="AI55" s="2" t="s">
        <v>563</v>
      </c>
      <c r="AJ55" s="2"/>
      <c r="AK55" s="2">
        <v>1628411806639</v>
      </c>
      <c r="AL55" s="2">
        <v>1</v>
      </c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 t="s">
        <v>564</v>
      </c>
      <c r="BA55" s="2" t="s">
        <v>563</v>
      </c>
      <c r="BB55" s="2" t="s">
        <v>175</v>
      </c>
      <c r="BC55" s="2"/>
      <c r="BD55" s="2"/>
      <c r="BE55" s="2"/>
      <c r="BF55" s="2" t="s">
        <v>176</v>
      </c>
      <c r="BG55" s="2" t="s">
        <v>565</v>
      </c>
      <c r="BH55" s="2" t="s">
        <v>566</v>
      </c>
      <c r="BI55" s="2">
        <v>116</v>
      </c>
      <c r="BJ55" s="2"/>
      <c r="BK55" s="2"/>
      <c r="BL55" s="2"/>
      <c r="BM55" s="2"/>
      <c r="BN55" s="2"/>
      <c r="BO55" s="2"/>
      <c r="BP55" s="2" t="s">
        <v>179</v>
      </c>
      <c r="BQ55" s="2" t="s">
        <v>180</v>
      </c>
      <c r="BR55" s="2" t="s">
        <v>181</v>
      </c>
      <c r="BS55" s="2"/>
      <c r="BT55" s="2" t="s">
        <v>567</v>
      </c>
      <c r="BU55" s="2" t="s">
        <v>568</v>
      </c>
      <c r="BV55" s="2" t="s">
        <v>152</v>
      </c>
      <c r="BW55" s="2" t="s">
        <v>562</v>
      </c>
      <c r="BX55" s="2">
        <v>1628411813276</v>
      </c>
      <c r="BY55" s="2">
        <v>54</v>
      </c>
      <c r="BZ55" s="2">
        <v>242.50987153952423</v>
      </c>
      <c r="CA55" s="2">
        <v>1628411155291</v>
      </c>
      <c r="CB55" s="2"/>
      <c r="CC55" s="2"/>
      <c r="CD55" s="2"/>
      <c r="CE55" s="2"/>
      <c r="CF55" s="2">
        <v>37.33773321738628</v>
      </c>
      <c r="CG55" s="2">
        <v>-95.510704686381203</v>
      </c>
      <c r="CH55" s="2" t="s">
        <v>563</v>
      </c>
      <c r="CI55" s="2"/>
      <c r="CJ55" s="2">
        <v>1628411161292</v>
      </c>
      <c r="CK55" s="2" t="s">
        <v>184</v>
      </c>
      <c r="CL55" s="2" t="s">
        <v>185</v>
      </c>
    </row>
    <row r="56" spans="1:90" x14ac:dyDescent="0.25">
      <c r="A56" s="2" t="s">
        <v>171</v>
      </c>
      <c r="B56" s="2"/>
      <c r="C56" s="2" t="s">
        <v>150</v>
      </c>
      <c r="D56" s="2"/>
      <c r="E56" s="2"/>
      <c r="F56" s="2"/>
      <c r="G56" s="2"/>
      <c r="H56" s="2">
        <v>177.744</v>
      </c>
      <c r="I56" s="2">
        <v>215</v>
      </c>
      <c r="J56" s="2">
        <v>0</v>
      </c>
      <c r="K56" s="2">
        <v>215</v>
      </c>
      <c r="L56" s="2"/>
      <c r="M56" s="2">
        <v>82006</v>
      </c>
      <c r="N56" s="2"/>
      <c r="O56" s="2"/>
      <c r="P56" s="2">
        <v>239.20345158495559</v>
      </c>
      <c r="Q56" s="2">
        <v>1628411177090</v>
      </c>
      <c r="R56" s="2">
        <v>17.254122936368272</v>
      </c>
      <c r="S56" s="2"/>
      <c r="T56" s="2" t="s">
        <v>569</v>
      </c>
      <c r="U56" s="2"/>
      <c r="V56" s="2">
        <v>37.334969705609659</v>
      </c>
      <c r="W56" s="2">
        <v>-95.533947722580564</v>
      </c>
      <c r="X56" s="2" t="s">
        <v>570</v>
      </c>
      <c r="Y56" s="2"/>
      <c r="Z56" s="2">
        <v>1628411165090</v>
      </c>
      <c r="AA56" s="2">
        <v>239.26164028933351</v>
      </c>
      <c r="AB56" s="2">
        <v>1628411243095</v>
      </c>
      <c r="AC56" s="2">
        <v>17.588364012510649</v>
      </c>
      <c r="AD56" s="2"/>
      <c r="AE56" s="2" t="s">
        <v>569</v>
      </c>
      <c r="AF56" s="2"/>
      <c r="AG56" s="2">
        <v>37.33350061678447</v>
      </c>
      <c r="AH56" s="2">
        <v>-95.5347401176669</v>
      </c>
      <c r="AI56" s="2" t="s">
        <v>570</v>
      </c>
      <c r="AJ56" s="2"/>
      <c r="AK56" s="2">
        <v>1628411247096</v>
      </c>
      <c r="AL56" s="2">
        <v>1</v>
      </c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 t="s">
        <v>571</v>
      </c>
      <c r="BA56" s="2" t="s">
        <v>570</v>
      </c>
      <c r="BB56" s="2" t="s">
        <v>202</v>
      </c>
      <c r="BC56" s="2"/>
      <c r="BD56" s="2"/>
      <c r="BE56" s="2"/>
      <c r="BF56" s="2" t="s">
        <v>203</v>
      </c>
      <c r="BG56" s="2" t="s">
        <v>572</v>
      </c>
      <c r="BH56" s="2" t="s">
        <v>573</v>
      </c>
      <c r="BI56" s="2">
        <v>12</v>
      </c>
      <c r="BJ56" s="2"/>
      <c r="BK56" s="2"/>
      <c r="BL56" s="2"/>
      <c r="BM56" s="2"/>
      <c r="BN56" s="2"/>
      <c r="BO56" s="2"/>
      <c r="BP56" s="2" t="s">
        <v>179</v>
      </c>
      <c r="BQ56" s="2" t="s">
        <v>193</v>
      </c>
      <c r="BR56" s="2" t="s">
        <v>194</v>
      </c>
      <c r="BS56" s="2"/>
      <c r="BT56" s="2" t="s">
        <v>574</v>
      </c>
      <c r="BU56" s="2" t="s">
        <v>575</v>
      </c>
      <c r="BV56" s="2" t="s">
        <v>152</v>
      </c>
      <c r="BW56" s="2" t="s">
        <v>569</v>
      </c>
      <c r="BX56" s="2">
        <v>1628411256099</v>
      </c>
      <c r="BY56" s="2">
        <v>55</v>
      </c>
      <c r="BZ56" s="2">
        <v>239.16593305560011</v>
      </c>
      <c r="CA56" s="2">
        <v>1628411161090</v>
      </c>
      <c r="CB56" s="2"/>
      <c r="CC56" s="2"/>
      <c r="CD56" s="2"/>
      <c r="CE56" s="2"/>
      <c r="CF56" s="2">
        <v>37.334929057483144</v>
      </c>
      <c r="CG56" s="2">
        <v>-95.533759381107643</v>
      </c>
      <c r="CH56" s="2" t="s">
        <v>570</v>
      </c>
      <c r="CI56" s="2"/>
      <c r="CJ56" s="2">
        <v>1628411165090</v>
      </c>
      <c r="CK56" s="2" t="s">
        <v>197</v>
      </c>
      <c r="CL56" s="2" t="s">
        <v>198</v>
      </c>
    </row>
    <row r="57" spans="1:90" x14ac:dyDescent="0.25">
      <c r="A57" s="2" t="s">
        <v>171</v>
      </c>
      <c r="B57" s="2">
        <v>1628411219089</v>
      </c>
      <c r="C57" s="2" t="s">
        <v>150</v>
      </c>
      <c r="D57" s="2"/>
      <c r="E57" s="2"/>
      <c r="F57" s="2"/>
      <c r="G57" s="2"/>
      <c r="H57" s="2">
        <v>70.016999999999996</v>
      </c>
      <c r="I57" s="2">
        <v>78</v>
      </c>
      <c r="J57" s="2">
        <v>0</v>
      </c>
      <c r="K57" s="2">
        <v>78</v>
      </c>
      <c r="L57" s="2"/>
      <c r="M57" s="2">
        <v>38001</v>
      </c>
      <c r="N57" s="2"/>
      <c r="O57" s="2">
        <v>1628411219089</v>
      </c>
      <c r="P57" s="2">
        <v>243.06815661925097</v>
      </c>
      <c r="Q57" s="2">
        <v>1628411193088</v>
      </c>
      <c r="R57" s="2">
        <v>3.9284646840453061</v>
      </c>
      <c r="S57" s="2"/>
      <c r="T57" s="2" t="s">
        <v>576</v>
      </c>
      <c r="U57" s="2"/>
      <c r="V57" s="2">
        <v>37.337667475217366</v>
      </c>
      <c r="W57" s="2">
        <v>-95.509743559277496</v>
      </c>
      <c r="X57" s="2" t="s">
        <v>577</v>
      </c>
      <c r="Y57" s="2"/>
      <c r="Z57" s="2">
        <v>1628411181088</v>
      </c>
      <c r="AA57" s="2">
        <v>242.16689180453045</v>
      </c>
      <c r="AB57" s="2">
        <v>1628411217089</v>
      </c>
      <c r="AC57" s="2">
        <v>19.859073386652835</v>
      </c>
      <c r="AD57" s="2"/>
      <c r="AE57" s="2" t="s">
        <v>576</v>
      </c>
      <c r="AF57" s="2"/>
      <c r="AG57" s="2">
        <v>37.33716243579876</v>
      </c>
      <c r="AH57" s="2">
        <v>-95.51021644856506</v>
      </c>
      <c r="AI57" s="2" t="s">
        <v>577</v>
      </c>
      <c r="AJ57" s="2"/>
      <c r="AK57" s="2">
        <v>1628411219089</v>
      </c>
      <c r="AL57" s="2">
        <v>1</v>
      </c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 t="s">
        <v>578</v>
      </c>
      <c r="BA57" s="2" t="s">
        <v>577</v>
      </c>
      <c r="BB57" s="2" t="s">
        <v>189</v>
      </c>
      <c r="BC57" s="2"/>
      <c r="BD57" s="2"/>
      <c r="BE57" s="2"/>
      <c r="BF57" s="2" t="s">
        <v>190</v>
      </c>
      <c r="BG57" s="2" t="s">
        <v>579</v>
      </c>
      <c r="BH57" s="2" t="s">
        <v>580</v>
      </c>
      <c r="BI57" s="2">
        <v>5</v>
      </c>
      <c r="BJ57" s="2"/>
      <c r="BK57" s="2"/>
      <c r="BL57" s="2"/>
      <c r="BM57" s="2"/>
      <c r="BN57" s="2"/>
      <c r="BO57" s="2"/>
      <c r="BP57" s="2" t="s">
        <v>179</v>
      </c>
      <c r="BQ57" s="2" t="s">
        <v>193</v>
      </c>
      <c r="BR57" s="2" t="s">
        <v>194</v>
      </c>
      <c r="BS57" s="2"/>
      <c r="BT57" s="2" t="s">
        <v>581</v>
      </c>
      <c r="BU57" s="2" t="s">
        <v>582</v>
      </c>
      <c r="BV57" s="2" t="s">
        <v>152</v>
      </c>
      <c r="BW57" s="2" t="s">
        <v>576</v>
      </c>
      <c r="BX57" s="2">
        <v>1628411227352</v>
      </c>
      <c r="BY57" s="2">
        <v>56</v>
      </c>
      <c r="BZ57" s="2">
        <v>243.13469680577921</v>
      </c>
      <c r="CA57" s="2">
        <v>1628411181087</v>
      </c>
      <c r="CB57" s="2"/>
      <c r="CC57" s="2"/>
      <c r="CD57" s="2"/>
      <c r="CE57" s="2"/>
      <c r="CF57" s="2">
        <v>37.337683620081776</v>
      </c>
      <c r="CG57" s="2">
        <v>-95.509704042092281</v>
      </c>
      <c r="CH57" s="2" t="s">
        <v>577</v>
      </c>
      <c r="CI57" s="2"/>
      <c r="CJ57" s="2">
        <v>1628411181088</v>
      </c>
      <c r="CK57" s="2" t="s">
        <v>215</v>
      </c>
      <c r="CL57" s="2" t="s">
        <v>216</v>
      </c>
    </row>
    <row r="58" spans="1:90" x14ac:dyDescent="0.25">
      <c r="A58" s="2" t="s">
        <v>171</v>
      </c>
      <c r="B58" s="2"/>
      <c r="C58" s="2" t="s">
        <v>150</v>
      </c>
      <c r="D58" s="2"/>
      <c r="E58" s="2"/>
      <c r="F58" s="2"/>
      <c r="G58" s="2"/>
      <c r="H58" s="2">
        <v>177.744</v>
      </c>
      <c r="I58" s="2">
        <v>215</v>
      </c>
      <c r="J58" s="2">
        <v>0</v>
      </c>
      <c r="K58" s="2">
        <v>215</v>
      </c>
      <c r="L58" s="2"/>
      <c r="M58" s="2">
        <v>82007</v>
      </c>
      <c r="N58" s="2"/>
      <c r="O58" s="2"/>
      <c r="P58" s="2">
        <v>239.20345158495559</v>
      </c>
      <c r="Q58" s="2">
        <v>1628411198140</v>
      </c>
      <c r="R58" s="2">
        <v>17.254122936368272</v>
      </c>
      <c r="S58" s="2"/>
      <c r="T58" s="2" t="s">
        <v>583</v>
      </c>
      <c r="U58" s="2"/>
      <c r="V58" s="2">
        <v>37.334969705609659</v>
      </c>
      <c r="W58" s="2">
        <v>-95.533947722580564</v>
      </c>
      <c r="X58" s="2" t="s">
        <v>584</v>
      </c>
      <c r="Y58" s="2"/>
      <c r="Z58" s="2">
        <v>1628411186140</v>
      </c>
      <c r="AA58" s="2">
        <v>239.26164028933351</v>
      </c>
      <c r="AB58" s="2">
        <v>1628411264147</v>
      </c>
      <c r="AC58" s="2">
        <v>17.588364012510649</v>
      </c>
      <c r="AD58" s="2"/>
      <c r="AE58" s="2" t="s">
        <v>583</v>
      </c>
      <c r="AF58" s="2"/>
      <c r="AG58" s="2">
        <v>37.33350061678447</v>
      </c>
      <c r="AH58" s="2">
        <v>-95.5347401176669</v>
      </c>
      <c r="AI58" s="2" t="s">
        <v>584</v>
      </c>
      <c r="AJ58" s="2"/>
      <c r="AK58" s="2">
        <v>1628411268147</v>
      </c>
      <c r="AL58" s="2">
        <v>1</v>
      </c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 t="s">
        <v>585</v>
      </c>
      <c r="BA58" s="2" t="s">
        <v>584</v>
      </c>
      <c r="BB58" s="2" t="s">
        <v>189</v>
      </c>
      <c r="BC58" s="2"/>
      <c r="BD58" s="2"/>
      <c r="BE58" s="2"/>
      <c r="BF58" s="2" t="s">
        <v>190</v>
      </c>
      <c r="BG58" s="2" t="s">
        <v>586</v>
      </c>
      <c r="BH58" s="2" t="s">
        <v>587</v>
      </c>
      <c r="BI58" s="2">
        <v>12</v>
      </c>
      <c r="BJ58" s="2"/>
      <c r="BK58" s="2"/>
      <c r="BL58" s="2"/>
      <c r="BM58" s="2"/>
      <c r="BN58" s="2"/>
      <c r="BO58" s="2"/>
      <c r="BP58" s="2" t="s">
        <v>179</v>
      </c>
      <c r="BQ58" s="2" t="s">
        <v>193</v>
      </c>
      <c r="BR58" s="2" t="s">
        <v>194</v>
      </c>
      <c r="BS58" s="2"/>
      <c r="BT58" s="2" t="s">
        <v>588</v>
      </c>
      <c r="BU58" s="2" t="s">
        <v>589</v>
      </c>
      <c r="BV58" s="2" t="s">
        <v>152</v>
      </c>
      <c r="BW58" s="2" t="s">
        <v>583</v>
      </c>
      <c r="BX58" s="2">
        <v>1628411275430</v>
      </c>
      <c r="BY58" s="2">
        <v>57</v>
      </c>
      <c r="BZ58" s="2">
        <v>239.16593305560011</v>
      </c>
      <c r="CA58" s="2">
        <v>1628411182140</v>
      </c>
      <c r="CB58" s="2"/>
      <c r="CC58" s="2"/>
      <c r="CD58" s="2"/>
      <c r="CE58" s="2"/>
      <c r="CF58" s="2">
        <v>37.334929057483144</v>
      </c>
      <c r="CG58" s="2">
        <v>-95.533759381107643</v>
      </c>
      <c r="CH58" s="2" t="s">
        <v>584</v>
      </c>
      <c r="CI58" s="2"/>
      <c r="CJ58" s="2">
        <v>1628411186140</v>
      </c>
      <c r="CK58" s="2" t="s">
        <v>197</v>
      </c>
      <c r="CL58" s="2" t="s">
        <v>198</v>
      </c>
    </row>
    <row r="59" spans="1:90" x14ac:dyDescent="0.25">
      <c r="A59" s="2" t="s">
        <v>171</v>
      </c>
      <c r="B59" s="2"/>
      <c r="C59" s="2" t="s">
        <v>150</v>
      </c>
      <c r="D59" s="2"/>
      <c r="E59" s="2"/>
      <c r="F59" s="2"/>
      <c r="G59" s="2"/>
      <c r="H59" s="2">
        <v>2378.973</v>
      </c>
      <c r="I59" s="2">
        <v>5468</v>
      </c>
      <c r="J59" s="2">
        <v>0</v>
      </c>
      <c r="K59" s="2">
        <v>5468</v>
      </c>
      <c r="L59" s="2"/>
      <c r="M59" s="2">
        <v>687421</v>
      </c>
      <c r="N59" s="2"/>
      <c r="O59" s="2"/>
      <c r="P59" s="2">
        <v>242.90379180037081</v>
      </c>
      <c r="Q59" s="2">
        <v>1628411208738</v>
      </c>
      <c r="R59" s="2">
        <v>8.2264690714642867</v>
      </c>
      <c r="S59" s="2"/>
      <c r="T59" s="2" t="s">
        <v>590</v>
      </c>
      <c r="U59" s="2"/>
      <c r="V59" s="2">
        <v>37.337784975899019</v>
      </c>
      <c r="W59" s="2">
        <v>-95.510423591244475</v>
      </c>
      <c r="X59" s="2" t="s">
        <v>591</v>
      </c>
      <c r="Y59" s="2"/>
      <c r="Z59" s="2">
        <v>1628411186737</v>
      </c>
      <c r="AA59" s="2">
        <v>229.08</v>
      </c>
      <c r="AB59" s="2">
        <v>1628411928791</v>
      </c>
      <c r="AC59" s="2">
        <v>19.490436119372024</v>
      </c>
      <c r="AD59" s="2"/>
      <c r="AE59" s="2" t="s">
        <v>590</v>
      </c>
      <c r="AF59" s="2"/>
      <c r="AG59" s="2">
        <v>37.352451629999997</v>
      </c>
      <c r="AH59" s="2">
        <v>-95.530015809999995</v>
      </c>
      <c r="AI59" s="2" t="s">
        <v>591</v>
      </c>
      <c r="AJ59" s="2"/>
      <c r="AK59" s="2">
        <v>1628411874158</v>
      </c>
      <c r="AL59" s="2">
        <v>1</v>
      </c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 t="s">
        <v>592</v>
      </c>
      <c r="BA59" s="2" t="s">
        <v>591</v>
      </c>
      <c r="BB59" s="2" t="s">
        <v>175</v>
      </c>
      <c r="BC59" s="2"/>
      <c r="BD59" s="2"/>
      <c r="BE59" s="2"/>
      <c r="BF59" s="2" t="s">
        <v>176</v>
      </c>
      <c r="BG59" s="2" t="s">
        <v>593</v>
      </c>
      <c r="BH59" s="2" t="s">
        <v>594</v>
      </c>
      <c r="BI59" s="2">
        <v>116</v>
      </c>
      <c r="BJ59" s="2"/>
      <c r="BK59" s="2"/>
      <c r="BL59" s="2"/>
      <c r="BM59" s="2"/>
      <c r="BN59" s="2"/>
      <c r="BO59" s="2"/>
      <c r="BP59" s="2" t="s">
        <v>179</v>
      </c>
      <c r="BQ59" s="2" t="s">
        <v>180</v>
      </c>
      <c r="BR59" s="2" t="s">
        <v>181</v>
      </c>
      <c r="BS59" s="2"/>
      <c r="BT59" s="2" t="s">
        <v>595</v>
      </c>
      <c r="BU59" s="2" t="s">
        <v>596</v>
      </c>
      <c r="BV59" s="2" t="s">
        <v>152</v>
      </c>
      <c r="BW59" s="2" t="s">
        <v>590</v>
      </c>
      <c r="BX59" s="2">
        <v>1628411877184</v>
      </c>
      <c r="BY59" s="2">
        <v>58</v>
      </c>
      <c r="BZ59" s="2">
        <v>242.77948617209961</v>
      </c>
      <c r="CA59" s="2">
        <v>1628411186737</v>
      </c>
      <c r="CB59" s="2"/>
      <c r="CC59" s="2"/>
      <c r="CD59" s="2"/>
      <c r="CE59" s="2"/>
      <c r="CF59" s="2">
        <v>37.337744999545727</v>
      </c>
      <c r="CG59" s="2">
        <v>-95.510501875514194</v>
      </c>
      <c r="CH59" s="2" t="s">
        <v>591</v>
      </c>
      <c r="CI59" s="2"/>
      <c r="CJ59" s="2">
        <v>1628411186737</v>
      </c>
      <c r="CK59" s="2" t="s">
        <v>184</v>
      </c>
      <c r="CL59" s="2" t="s">
        <v>185</v>
      </c>
    </row>
    <row r="60" spans="1:90" x14ac:dyDescent="0.25">
      <c r="A60" s="2" t="s">
        <v>171</v>
      </c>
      <c r="B60" s="2"/>
      <c r="C60" s="2" t="s">
        <v>150</v>
      </c>
      <c r="D60" s="2"/>
      <c r="E60" s="2"/>
      <c r="F60" s="2"/>
      <c r="G60" s="2"/>
      <c r="H60" s="2">
        <v>2376.9949999999999</v>
      </c>
      <c r="I60" s="2">
        <v>5486</v>
      </c>
      <c r="J60" s="2">
        <v>0</v>
      </c>
      <c r="K60" s="2">
        <v>5486</v>
      </c>
      <c r="L60" s="2"/>
      <c r="M60" s="2">
        <v>706564</v>
      </c>
      <c r="N60" s="2"/>
      <c r="O60" s="2"/>
      <c r="P60" s="2">
        <v>242.77948617209961</v>
      </c>
      <c r="Q60" s="2">
        <v>1628411186790</v>
      </c>
      <c r="R60" s="2">
        <v>17.979967860278595</v>
      </c>
      <c r="S60" s="2"/>
      <c r="T60" s="2" t="s">
        <v>597</v>
      </c>
      <c r="U60" s="2"/>
      <c r="V60" s="2">
        <v>37.337744999545727</v>
      </c>
      <c r="W60" s="2">
        <v>-95.510501875514194</v>
      </c>
      <c r="X60" s="2" t="s">
        <v>598</v>
      </c>
      <c r="Y60" s="2"/>
      <c r="Z60" s="2">
        <v>1628411186790</v>
      </c>
      <c r="AA60" s="2">
        <v>229.08</v>
      </c>
      <c r="AB60" s="2">
        <v>1628411928841</v>
      </c>
      <c r="AC60" s="2">
        <v>19.490436119372024</v>
      </c>
      <c r="AD60" s="2"/>
      <c r="AE60" s="2" t="s">
        <v>597</v>
      </c>
      <c r="AF60" s="2"/>
      <c r="AG60" s="2">
        <v>37.352451629999997</v>
      </c>
      <c r="AH60" s="2">
        <v>-95.530015809999995</v>
      </c>
      <c r="AI60" s="2" t="s">
        <v>598</v>
      </c>
      <c r="AJ60" s="2"/>
      <c r="AK60" s="2">
        <v>1628411893354</v>
      </c>
      <c r="AL60" s="2">
        <v>1</v>
      </c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 t="s">
        <v>599</v>
      </c>
      <c r="BA60" s="2" t="s">
        <v>598</v>
      </c>
      <c r="BB60" s="2" t="s">
        <v>175</v>
      </c>
      <c r="BC60" s="2"/>
      <c r="BD60" s="2"/>
      <c r="BE60" s="2"/>
      <c r="BF60" s="2" t="s">
        <v>176</v>
      </c>
      <c r="BG60" s="2" t="s">
        <v>600</v>
      </c>
      <c r="BH60" s="2" t="s">
        <v>601</v>
      </c>
      <c r="BI60" s="2">
        <v>117</v>
      </c>
      <c r="BJ60" s="2"/>
      <c r="BK60" s="2"/>
      <c r="BL60" s="2"/>
      <c r="BM60" s="2"/>
      <c r="BN60" s="2"/>
      <c r="BO60" s="2"/>
      <c r="BP60" s="2" t="s">
        <v>179</v>
      </c>
      <c r="BQ60" s="2" t="s">
        <v>180</v>
      </c>
      <c r="BR60" s="2" t="s">
        <v>181</v>
      </c>
      <c r="BS60" s="2"/>
      <c r="BT60" s="2" t="s">
        <v>602</v>
      </c>
      <c r="BU60" s="2" t="s">
        <v>603</v>
      </c>
      <c r="BV60" s="2" t="s">
        <v>152</v>
      </c>
      <c r="BW60" s="2" t="s">
        <v>597</v>
      </c>
      <c r="BX60" s="2">
        <v>1628411896423</v>
      </c>
      <c r="BY60" s="2">
        <v>59</v>
      </c>
      <c r="BZ60" s="2">
        <v>242.50987153952423</v>
      </c>
      <c r="CA60" s="2">
        <v>1628411180790</v>
      </c>
      <c r="CB60" s="2"/>
      <c r="CC60" s="2"/>
      <c r="CD60" s="2"/>
      <c r="CE60" s="2"/>
      <c r="CF60" s="2">
        <v>37.33773321738628</v>
      </c>
      <c r="CG60" s="2">
        <v>-95.510704686381203</v>
      </c>
      <c r="CH60" s="2" t="s">
        <v>598</v>
      </c>
      <c r="CI60" s="2"/>
      <c r="CJ60" s="2">
        <v>1628411186790</v>
      </c>
      <c r="CK60" s="2" t="s">
        <v>184</v>
      </c>
      <c r="CL60" s="2" t="s">
        <v>185</v>
      </c>
    </row>
    <row r="61" spans="1:90" x14ac:dyDescent="0.25">
      <c r="A61" s="2" t="s">
        <v>171</v>
      </c>
      <c r="B61" s="2">
        <v>1628411249898</v>
      </c>
      <c r="C61" s="2" t="s">
        <v>150</v>
      </c>
      <c r="D61" s="2"/>
      <c r="E61" s="2"/>
      <c r="F61" s="2"/>
      <c r="G61" s="2"/>
      <c r="H61" s="2">
        <v>73.563999999999993</v>
      </c>
      <c r="I61" s="2">
        <v>96</v>
      </c>
      <c r="J61" s="2">
        <v>0</v>
      </c>
      <c r="K61" s="2">
        <v>96</v>
      </c>
      <c r="L61" s="2"/>
      <c r="M61" s="2">
        <v>38002</v>
      </c>
      <c r="N61" s="2"/>
      <c r="O61" s="2">
        <v>1628411249898</v>
      </c>
      <c r="P61" s="2">
        <v>243.13469680577921</v>
      </c>
      <c r="Q61" s="2">
        <v>1628411211896</v>
      </c>
      <c r="R61" s="2">
        <v>17.979962265698024</v>
      </c>
      <c r="S61" s="2"/>
      <c r="T61" s="2" t="s">
        <v>604</v>
      </c>
      <c r="U61" s="2"/>
      <c r="V61" s="2">
        <v>37.337683620081776</v>
      </c>
      <c r="W61" s="2">
        <v>-95.509704042092281</v>
      </c>
      <c r="X61" s="2" t="s">
        <v>605</v>
      </c>
      <c r="Y61" s="2"/>
      <c r="Z61" s="2">
        <v>1628411211896</v>
      </c>
      <c r="AA61" s="2">
        <v>242.16689180453045</v>
      </c>
      <c r="AB61" s="2">
        <v>1628411247898</v>
      </c>
      <c r="AC61" s="2">
        <v>19.859073386652835</v>
      </c>
      <c r="AD61" s="2"/>
      <c r="AE61" s="2" t="s">
        <v>604</v>
      </c>
      <c r="AF61" s="2"/>
      <c r="AG61" s="2">
        <v>37.33716243579876</v>
      </c>
      <c r="AH61" s="2">
        <v>-95.51021644856506</v>
      </c>
      <c r="AI61" s="2" t="s">
        <v>605</v>
      </c>
      <c r="AJ61" s="2"/>
      <c r="AK61" s="2">
        <v>1628411249898</v>
      </c>
      <c r="AL61" s="2">
        <v>1</v>
      </c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 t="s">
        <v>606</v>
      </c>
      <c r="BA61" s="2" t="s">
        <v>605</v>
      </c>
      <c r="BB61" s="2" t="s">
        <v>189</v>
      </c>
      <c r="BC61" s="2"/>
      <c r="BD61" s="2"/>
      <c r="BE61" s="2"/>
      <c r="BF61" s="2" t="s">
        <v>190</v>
      </c>
      <c r="BG61" s="2" t="s">
        <v>607</v>
      </c>
      <c r="BH61" s="2" t="s">
        <v>608</v>
      </c>
      <c r="BI61" s="2">
        <v>6</v>
      </c>
      <c r="BJ61" s="2"/>
      <c r="BK61" s="2"/>
      <c r="BL61" s="2"/>
      <c r="BM61" s="2"/>
      <c r="BN61" s="2"/>
      <c r="BO61" s="2"/>
      <c r="BP61" s="2" t="s">
        <v>179</v>
      </c>
      <c r="BQ61" s="2" t="s">
        <v>193</v>
      </c>
      <c r="BR61" s="2" t="s">
        <v>194</v>
      </c>
      <c r="BS61" s="2"/>
      <c r="BT61" s="2" t="s">
        <v>609</v>
      </c>
      <c r="BU61" s="2" t="s">
        <v>610</v>
      </c>
      <c r="BV61" s="2" t="s">
        <v>152</v>
      </c>
      <c r="BW61" s="2" t="s">
        <v>604</v>
      </c>
      <c r="BX61" s="2">
        <v>1628411251413</v>
      </c>
      <c r="BY61" s="2">
        <v>60</v>
      </c>
      <c r="BZ61" s="2">
        <v>243.17387872042161</v>
      </c>
      <c r="CA61" s="2">
        <v>1628411205895</v>
      </c>
      <c r="CB61" s="2"/>
      <c r="CC61" s="2"/>
      <c r="CD61" s="2"/>
      <c r="CE61" s="2"/>
      <c r="CF61" s="2">
        <v>37.337833086025498</v>
      </c>
      <c r="CG61" s="2">
        <v>-95.509626448840663</v>
      </c>
      <c r="CH61" s="2" t="s">
        <v>605</v>
      </c>
      <c r="CI61" s="2"/>
      <c r="CJ61" s="2">
        <v>1628411211896</v>
      </c>
      <c r="CK61" s="2" t="s">
        <v>215</v>
      </c>
      <c r="CL61" s="2" t="s">
        <v>216</v>
      </c>
    </row>
    <row r="62" spans="1:90" x14ac:dyDescent="0.25">
      <c r="A62" s="2" t="s">
        <v>171</v>
      </c>
      <c r="B62" s="2"/>
      <c r="C62" s="2" t="s">
        <v>150</v>
      </c>
      <c r="D62" s="2"/>
      <c r="E62" s="2"/>
      <c r="F62" s="2"/>
      <c r="G62" s="2"/>
      <c r="H62" s="2">
        <v>177.744</v>
      </c>
      <c r="I62" s="2">
        <v>215</v>
      </c>
      <c r="J62" s="2">
        <v>0</v>
      </c>
      <c r="K62" s="2">
        <v>215</v>
      </c>
      <c r="L62" s="2"/>
      <c r="M62" s="2">
        <v>82008</v>
      </c>
      <c r="N62" s="2"/>
      <c r="O62" s="2"/>
      <c r="P62" s="2">
        <v>239.20345158495559</v>
      </c>
      <c r="Q62" s="2">
        <v>1628411226026</v>
      </c>
      <c r="R62" s="2">
        <v>17.254122936368272</v>
      </c>
      <c r="S62" s="2"/>
      <c r="T62" s="2" t="s">
        <v>611</v>
      </c>
      <c r="U62" s="2"/>
      <c r="V62" s="2">
        <v>37.334969705609659</v>
      </c>
      <c r="W62" s="2">
        <v>-95.533947722580564</v>
      </c>
      <c r="X62" s="2" t="s">
        <v>612</v>
      </c>
      <c r="Y62" s="2"/>
      <c r="Z62" s="2">
        <v>1628411214026</v>
      </c>
      <c r="AA62" s="2">
        <v>239.26164028933351</v>
      </c>
      <c r="AB62" s="2">
        <v>1628411292034</v>
      </c>
      <c r="AC62" s="2">
        <v>17.588364012510649</v>
      </c>
      <c r="AD62" s="2"/>
      <c r="AE62" s="2" t="s">
        <v>611</v>
      </c>
      <c r="AF62" s="2"/>
      <c r="AG62" s="2">
        <v>37.33350061678447</v>
      </c>
      <c r="AH62" s="2">
        <v>-95.5347401176669</v>
      </c>
      <c r="AI62" s="2" t="s">
        <v>612</v>
      </c>
      <c r="AJ62" s="2"/>
      <c r="AK62" s="2">
        <v>1628411296034</v>
      </c>
      <c r="AL62" s="2">
        <v>1</v>
      </c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 t="s">
        <v>613</v>
      </c>
      <c r="BA62" s="2" t="s">
        <v>612</v>
      </c>
      <c r="BB62" s="2" t="s">
        <v>189</v>
      </c>
      <c r="BC62" s="2"/>
      <c r="BD62" s="2"/>
      <c r="BE62" s="2"/>
      <c r="BF62" s="2" t="s">
        <v>190</v>
      </c>
      <c r="BG62" s="2" t="s">
        <v>614</v>
      </c>
      <c r="BH62" s="2" t="s">
        <v>615</v>
      </c>
      <c r="BI62" s="2">
        <v>12</v>
      </c>
      <c r="BJ62" s="2"/>
      <c r="BK62" s="2"/>
      <c r="BL62" s="2"/>
      <c r="BM62" s="2"/>
      <c r="BN62" s="2"/>
      <c r="BO62" s="2"/>
      <c r="BP62" s="2" t="s">
        <v>179</v>
      </c>
      <c r="BQ62" s="2" t="s">
        <v>285</v>
      </c>
      <c r="BR62" s="2" t="s">
        <v>286</v>
      </c>
      <c r="BS62" s="2"/>
      <c r="BT62" s="2" t="s">
        <v>616</v>
      </c>
      <c r="BU62" s="2" t="s">
        <v>617</v>
      </c>
      <c r="BV62" s="2" t="s">
        <v>152</v>
      </c>
      <c r="BW62" s="2" t="s">
        <v>611</v>
      </c>
      <c r="BX62" s="2">
        <v>1628411300979</v>
      </c>
      <c r="BY62" s="2">
        <v>61</v>
      </c>
      <c r="BZ62" s="2">
        <v>239.16593305560011</v>
      </c>
      <c r="CA62" s="2">
        <v>1628411210025</v>
      </c>
      <c r="CB62" s="2"/>
      <c r="CC62" s="2"/>
      <c r="CD62" s="2"/>
      <c r="CE62" s="2"/>
      <c r="CF62" s="2">
        <v>37.334929057483144</v>
      </c>
      <c r="CG62" s="2">
        <v>-95.533759381107643</v>
      </c>
      <c r="CH62" s="2" t="s">
        <v>612</v>
      </c>
      <c r="CI62" s="2"/>
      <c r="CJ62" s="2">
        <v>1628411214026</v>
      </c>
      <c r="CK62" s="2" t="s">
        <v>197</v>
      </c>
      <c r="CL62" s="2" t="s">
        <v>198</v>
      </c>
    </row>
    <row r="63" spans="1:90" x14ac:dyDescent="0.25">
      <c r="A63" s="2" t="s">
        <v>171</v>
      </c>
      <c r="B63" s="2"/>
      <c r="C63" s="2" t="s">
        <v>150</v>
      </c>
      <c r="D63" s="2"/>
      <c r="E63" s="2"/>
      <c r="F63" s="2"/>
      <c r="G63" s="2"/>
      <c r="H63" s="2">
        <v>2378.973</v>
      </c>
      <c r="I63" s="2">
        <v>5468</v>
      </c>
      <c r="J63" s="2">
        <v>0</v>
      </c>
      <c r="K63" s="2">
        <v>5468</v>
      </c>
      <c r="L63" s="2"/>
      <c r="M63" s="2">
        <v>730147</v>
      </c>
      <c r="N63" s="2"/>
      <c r="O63" s="2"/>
      <c r="P63" s="2">
        <v>242.90379180037081</v>
      </c>
      <c r="Q63" s="2">
        <v>1628411240854</v>
      </c>
      <c r="R63" s="2">
        <v>8.2264690714642867</v>
      </c>
      <c r="S63" s="2"/>
      <c r="T63" s="2" t="s">
        <v>618</v>
      </c>
      <c r="U63" s="2"/>
      <c r="V63" s="2">
        <v>37.337784975899019</v>
      </c>
      <c r="W63" s="2">
        <v>-95.510423591244475</v>
      </c>
      <c r="X63" s="2" t="s">
        <v>619</v>
      </c>
      <c r="Y63" s="2"/>
      <c r="Z63" s="2">
        <v>1628411218854</v>
      </c>
      <c r="AA63" s="2">
        <v>229.08</v>
      </c>
      <c r="AB63" s="2">
        <v>1628411960909</v>
      </c>
      <c r="AC63" s="2">
        <v>19.490436119372024</v>
      </c>
      <c r="AD63" s="2"/>
      <c r="AE63" s="2" t="s">
        <v>618</v>
      </c>
      <c r="AF63" s="2"/>
      <c r="AG63" s="2">
        <v>37.352451629999997</v>
      </c>
      <c r="AH63" s="2">
        <v>-95.530015809999995</v>
      </c>
      <c r="AI63" s="2" t="s">
        <v>619</v>
      </c>
      <c r="AJ63" s="2"/>
      <c r="AK63" s="2">
        <v>1628411949001</v>
      </c>
      <c r="AL63" s="2">
        <v>1</v>
      </c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 t="s">
        <v>620</v>
      </c>
      <c r="BA63" s="2" t="s">
        <v>619</v>
      </c>
      <c r="BB63" s="2" t="s">
        <v>175</v>
      </c>
      <c r="BC63" s="2"/>
      <c r="BD63" s="2"/>
      <c r="BE63" s="2"/>
      <c r="BF63" s="2" t="s">
        <v>176</v>
      </c>
      <c r="BG63" s="2" t="s">
        <v>621</v>
      </c>
      <c r="BH63" s="2" t="s">
        <v>622</v>
      </c>
      <c r="BI63" s="2">
        <v>116</v>
      </c>
      <c r="BJ63" s="2"/>
      <c r="BK63" s="2"/>
      <c r="BL63" s="2"/>
      <c r="BM63" s="2"/>
      <c r="BN63" s="2"/>
      <c r="BO63" s="2"/>
      <c r="BP63" s="2" t="s">
        <v>179</v>
      </c>
      <c r="BQ63" s="2" t="s">
        <v>180</v>
      </c>
      <c r="BR63" s="2" t="s">
        <v>181</v>
      </c>
      <c r="BS63" s="2"/>
      <c r="BT63" s="2" t="s">
        <v>623</v>
      </c>
      <c r="BU63" s="2" t="s">
        <v>624</v>
      </c>
      <c r="BV63" s="2" t="s">
        <v>152</v>
      </c>
      <c r="BW63" s="2" t="s">
        <v>618</v>
      </c>
      <c r="BX63" s="2">
        <v>1628411955729</v>
      </c>
      <c r="BY63" s="2">
        <v>62</v>
      </c>
      <c r="BZ63" s="2">
        <v>242.77948617209961</v>
      </c>
      <c r="CA63" s="2">
        <v>1628411218853</v>
      </c>
      <c r="CB63" s="2"/>
      <c r="CC63" s="2"/>
      <c r="CD63" s="2"/>
      <c r="CE63" s="2"/>
      <c r="CF63" s="2">
        <v>37.337744999545727</v>
      </c>
      <c r="CG63" s="2">
        <v>-95.510501875514194</v>
      </c>
      <c r="CH63" s="2" t="s">
        <v>619</v>
      </c>
      <c r="CI63" s="2"/>
      <c r="CJ63" s="2">
        <v>1628411218854</v>
      </c>
      <c r="CK63" s="2" t="s">
        <v>184</v>
      </c>
      <c r="CL63" s="2" t="s">
        <v>185</v>
      </c>
    </row>
    <row r="64" spans="1:90" x14ac:dyDescent="0.25">
      <c r="A64" s="2" t="s">
        <v>171</v>
      </c>
      <c r="B64" s="2"/>
      <c r="C64" s="2" t="s">
        <v>150</v>
      </c>
      <c r="D64" s="2"/>
      <c r="E64" s="2"/>
      <c r="F64" s="2"/>
      <c r="G64" s="2"/>
      <c r="H64" s="2">
        <v>2376.9949999999999</v>
      </c>
      <c r="I64" s="2">
        <v>5486</v>
      </c>
      <c r="J64" s="2">
        <v>0</v>
      </c>
      <c r="K64" s="2">
        <v>5486</v>
      </c>
      <c r="L64" s="2"/>
      <c r="M64" s="2">
        <v>710161</v>
      </c>
      <c r="N64" s="2"/>
      <c r="O64" s="2"/>
      <c r="P64" s="2">
        <v>242.77948617209961</v>
      </c>
      <c r="Q64" s="2">
        <v>1628411219739</v>
      </c>
      <c r="R64" s="2">
        <v>17.979967860278595</v>
      </c>
      <c r="S64" s="2"/>
      <c r="T64" s="2" t="s">
        <v>625</v>
      </c>
      <c r="U64" s="2"/>
      <c r="V64" s="2">
        <v>37.337744999545727</v>
      </c>
      <c r="W64" s="2">
        <v>-95.510501875514194</v>
      </c>
      <c r="X64" s="2" t="s">
        <v>626</v>
      </c>
      <c r="Y64" s="2"/>
      <c r="Z64" s="2">
        <v>1628411219739</v>
      </c>
      <c r="AA64" s="2">
        <v>229.08</v>
      </c>
      <c r="AB64" s="2">
        <v>1628411961792</v>
      </c>
      <c r="AC64" s="2">
        <v>19.490436119372024</v>
      </c>
      <c r="AD64" s="2"/>
      <c r="AE64" s="2" t="s">
        <v>625</v>
      </c>
      <c r="AF64" s="2"/>
      <c r="AG64" s="2">
        <v>37.352451629999997</v>
      </c>
      <c r="AH64" s="2">
        <v>-95.530015809999995</v>
      </c>
      <c r="AI64" s="2" t="s">
        <v>626</v>
      </c>
      <c r="AJ64" s="2"/>
      <c r="AK64" s="2">
        <v>1628411929900</v>
      </c>
      <c r="AL64" s="2">
        <v>1</v>
      </c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 t="s">
        <v>627</v>
      </c>
      <c r="BA64" s="2" t="s">
        <v>626</v>
      </c>
      <c r="BB64" s="2" t="s">
        <v>175</v>
      </c>
      <c r="BC64" s="2"/>
      <c r="BD64" s="2"/>
      <c r="BE64" s="2"/>
      <c r="BF64" s="2" t="s">
        <v>176</v>
      </c>
      <c r="BG64" s="2" t="s">
        <v>628</v>
      </c>
      <c r="BH64" s="2" t="s">
        <v>629</v>
      </c>
      <c r="BI64" s="2">
        <v>117</v>
      </c>
      <c r="BJ64" s="2"/>
      <c r="BK64" s="2"/>
      <c r="BL64" s="2"/>
      <c r="BM64" s="2"/>
      <c r="BN64" s="2"/>
      <c r="BO64" s="2"/>
      <c r="BP64" s="2" t="s">
        <v>179</v>
      </c>
      <c r="BQ64" s="2" t="s">
        <v>180</v>
      </c>
      <c r="BR64" s="2" t="s">
        <v>181</v>
      </c>
      <c r="BS64" s="2"/>
      <c r="BT64" s="2" t="s">
        <v>630</v>
      </c>
      <c r="BU64" s="2" t="s">
        <v>631</v>
      </c>
      <c r="BV64" s="2" t="s">
        <v>152</v>
      </c>
      <c r="BW64" s="2" t="s">
        <v>625</v>
      </c>
      <c r="BX64" s="2">
        <v>1628411936491</v>
      </c>
      <c r="BY64" s="2">
        <v>63</v>
      </c>
      <c r="BZ64" s="2">
        <v>242.50987153952423</v>
      </c>
      <c r="CA64" s="2">
        <v>1628411213739</v>
      </c>
      <c r="CB64" s="2"/>
      <c r="CC64" s="2"/>
      <c r="CD64" s="2"/>
      <c r="CE64" s="2"/>
      <c r="CF64" s="2">
        <v>37.33773321738628</v>
      </c>
      <c r="CG64" s="2">
        <v>-95.510704686381203</v>
      </c>
      <c r="CH64" s="2" t="s">
        <v>626</v>
      </c>
      <c r="CI64" s="2"/>
      <c r="CJ64" s="2">
        <v>1628411219739</v>
      </c>
      <c r="CK64" s="2" t="s">
        <v>184</v>
      </c>
      <c r="CL64" s="2" t="s">
        <v>185</v>
      </c>
    </row>
    <row r="65" spans="1:90" x14ac:dyDescent="0.25">
      <c r="A65" s="2" t="s">
        <v>171</v>
      </c>
      <c r="B65" s="2">
        <v>1628411272971</v>
      </c>
      <c r="C65" s="2" t="s">
        <v>150</v>
      </c>
      <c r="D65" s="2"/>
      <c r="E65" s="2"/>
      <c r="F65" s="2"/>
      <c r="G65" s="2"/>
      <c r="H65" s="2">
        <v>70.016999999999996</v>
      </c>
      <c r="I65" s="2">
        <v>78</v>
      </c>
      <c r="J65" s="2">
        <v>0</v>
      </c>
      <c r="K65" s="2">
        <v>78</v>
      </c>
      <c r="L65" s="2"/>
      <c r="M65" s="2">
        <v>38002</v>
      </c>
      <c r="N65" s="2"/>
      <c r="O65" s="2">
        <v>1628411272971</v>
      </c>
      <c r="P65" s="2">
        <v>243.06815661925097</v>
      </c>
      <c r="Q65" s="2">
        <v>1628411246969</v>
      </c>
      <c r="R65" s="2">
        <v>3.9284646840453061</v>
      </c>
      <c r="S65" s="2"/>
      <c r="T65" s="2" t="s">
        <v>632</v>
      </c>
      <c r="U65" s="2"/>
      <c r="V65" s="2">
        <v>37.337667475217366</v>
      </c>
      <c r="W65" s="2">
        <v>-95.509743559277496</v>
      </c>
      <c r="X65" s="2" t="s">
        <v>633</v>
      </c>
      <c r="Y65" s="2"/>
      <c r="Z65" s="2">
        <v>1628411234969</v>
      </c>
      <c r="AA65" s="2">
        <v>242.16689180453045</v>
      </c>
      <c r="AB65" s="2">
        <v>1628411270971</v>
      </c>
      <c r="AC65" s="2">
        <v>19.859073386652835</v>
      </c>
      <c r="AD65" s="2"/>
      <c r="AE65" s="2" t="s">
        <v>632</v>
      </c>
      <c r="AF65" s="2"/>
      <c r="AG65" s="2">
        <v>37.33716243579876</v>
      </c>
      <c r="AH65" s="2">
        <v>-95.51021644856506</v>
      </c>
      <c r="AI65" s="2" t="s">
        <v>633</v>
      </c>
      <c r="AJ65" s="2"/>
      <c r="AK65" s="2">
        <v>1628411272971</v>
      </c>
      <c r="AL65" s="2">
        <v>1</v>
      </c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 t="s">
        <v>634</v>
      </c>
      <c r="BA65" s="2" t="s">
        <v>633</v>
      </c>
      <c r="BB65" s="2" t="s">
        <v>189</v>
      </c>
      <c r="BC65" s="2"/>
      <c r="BD65" s="2"/>
      <c r="BE65" s="2"/>
      <c r="BF65" s="2" t="s">
        <v>190</v>
      </c>
      <c r="BG65" s="2" t="s">
        <v>635</v>
      </c>
      <c r="BH65" s="2" t="s">
        <v>636</v>
      </c>
      <c r="BI65" s="2">
        <v>5</v>
      </c>
      <c r="BJ65" s="2"/>
      <c r="BK65" s="2"/>
      <c r="BL65" s="2"/>
      <c r="BM65" s="2"/>
      <c r="BN65" s="2"/>
      <c r="BO65" s="2"/>
      <c r="BP65" s="2" t="s">
        <v>179</v>
      </c>
      <c r="BQ65" s="2" t="s">
        <v>193</v>
      </c>
      <c r="BR65" s="2" t="s">
        <v>194</v>
      </c>
      <c r="BS65" s="2"/>
      <c r="BT65" s="2" t="s">
        <v>637</v>
      </c>
      <c r="BU65" s="2" t="s">
        <v>638</v>
      </c>
      <c r="BV65" s="2" t="s">
        <v>152</v>
      </c>
      <c r="BW65" s="2" t="s">
        <v>632</v>
      </c>
      <c r="BX65" s="2">
        <v>1628411275437</v>
      </c>
      <c r="BY65" s="2">
        <v>64</v>
      </c>
      <c r="BZ65" s="2">
        <v>243.13469680577921</v>
      </c>
      <c r="CA65" s="2">
        <v>1628411234969</v>
      </c>
      <c r="CB65" s="2"/>
      <c r="CC65" s="2"/>
      <c r="CD65" s="2"/>
      <c r="CE65" s="2"/>
      <c r="CF65" s="2">
        <v>37.337683620081776</v>
      </c>
      <c r="CG65" s="2">
        <v>-95.509704042092281</v>
      </c>
      <c r="CH65" s="2" t="s">
        <v>633</v>
      </c>
      <c r="CI65" s="2"/>
      <c r="CJ65" s="2">
        <v>1628411234969</v>
      </c>
      <c r="CK65" s="2" t="s">
        <v>215</v>
      </c>
      <c r="CL65" s="2" t="s">
        <v>216</v>
      </c>
    </row>
    <row r="66" spans="1:90" x14ac:dyDescent="0.25">
      <c r="A66" s="2" t="s">
        <v>171</v>
      </c>
      <c r="B66" s="2"/>
      <c r="C66" s="2" t="s">
        <v>150</v>
      </c>
      <c r="D66" s="2"/>
      <c r="E66" s="2"/>
      <c r="F66" s="2"/>
      <c r="G66" s="2"/>
      <c r="H66" s="2">
        <v>177.744</v>
      </c>
      <c r="I66" s="2">
        <v>215</v>
      </c>
      <c r="J66" s="2">
        <v>0</v>
      </c>
      <c r="K66" s="2">
        <v>215</v>
      </c>
      <c r="L66" s="2"/>
      <c r="M66" s="2">
        <v>82006</v>
      </c>
      <c r="N66" s="2"/>
      <c r="O66" s="2"/>
      <c r="P66" s="2">
        <v>239.20345158495559</v>
      </c>
      <c r="Q66" s="2">
        <v>1628411247605</v>
      </c>
      <c r="R66" s="2">
        <v>17.254122936368272</v>
      </c>
      <c r="S66" s="2"/>
      <c r="T66" s="2" t="s">
        <v>639</v>
      </c>
      <c r="U66" s="2"/>
      <c r="V66" s="2">
        <v>37.334969705609659</v>
      </c>
      <c r="W66" s="2">
        <v>-95.533947722580564</v>
      </c>
      <c r="X66" s="2" t="s">
        <v>640</v>
      </c>
      <c r="Y66" s="2"/>
      <c r="Z66" s="2">
        <v>1628411235605</v>
      </c>
      <c r="AA66" s="2">
        <v>239.26164028933351</v>
      </c>
      <c r="AB66" s="2">
        <v>1628411313611</v>
      </c>
      <c r="AC66" s="2">
        <v>17.588364012510649</v>
      </c>
      <c r="AD66" s="2"/>
      <c r="AE66" s="2" t="s">
        <v>639</v>
      </c>
      <c r="AF66" s="2"/>
      <c r="AG66" s="2">
        <v>37.33350061678447</v>
      </c>
      <c r="AH66" s="2">
        <v>-95.5347401176669</v>
      </c>
      <c r="AI66" s="2" t="s">
        <v>640</v>
      </c>
      <c r="AJ66" s="2"/>
      <c r="AK66" s="2">
        <v>1628411317611</v>
      </c>
      <c r="AL66" s="2">
        <v>1</v>
      </c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 t="s">
        <v>641</v>
      </c>
      <c r="BA66" s="2" t="s">
        <v>640</v>
      </c>
      <c r="BB66" s="2" t="s">
        <v>189</v>
      </c>
      <c r="BC66" s="2"/>
      <c r="BD66" s="2"/>
      <c r="BE66" s="2"/>
      <c r="BF66" s="2" t="s">
        <v>190</v>
      </c>
      <c r="BG66" s="2" t="s">
        <v>642</v>
      </c>
      <c r="BH66" s="2" t="s">
        <v>643</v>
      </c>
      <c r="BI66" s="2">
        <v>12</v>
      </c>
      <c r="BJ66" s="2"/>
      <c r="BK66" s="2"/>
      <c r="BL66" s="2"/>
      <c r="BM66" s="2"/>
      <c r="BN66" s="2"/>
      <c r="BO66" s="2"/>
      <c r="BP66" s="2" t="s">
        <v>179</v>
      </c>
      <c r="BQ66" s="2" t="s">
        <v>193</v>
      </c>
      <c r="BR66" s="2" t="s">
        <v>194</v>
      </c>
      <c r="BS66" s="2"/>
      <c r="BT66" s="2" t="s">
        <v>644</v>
      </c>
      <c r="BU66" s="2" t="s">
        <v>645</v>
      </c>
      <c r="BV66" s="2" t="s">
        <v>152</v>
      </c>
      <c r="BW66" s="2" t="s">
        <v>639</v>
      </c>
      <c r="BX66" s="2">
        <v>1628411321708</v>
      </c>
      <c r="BY66" s="2">
        <v>65</v>
      </c>
      <c r="BZ66" s="2">
        <v>239.16593305560011</v>
      </c>
      <c r="CA66" s="2">
        <v>1628411231605</v>
      </c>
      <c r="CB66" s="2"/>
      <c r="CC66" s="2"/>
      <c r="CD66" s="2"/>
      <c r="CE66" s="2"/>
      <c r="CF66" s="2">
        <v>37.334929057483144</v>
      </c>
      <c r="CG66" s="2">
        <v>-95.533759381107643</v>
      </c>
      <c r="CH66" s="2" t="s">
        <v>640</v>
      </c>
      <c r="CI66" s="2"/>
      <c r="CJ66" s="2">
        <v>1628411235605</v>
      </c>
      <c r="CK66" s="2" t="s">
        <v>197</v>
      </c>
      <c r="CL66" s="2" t="s">
        <v>198</v>
      </c>
    </row>
    <row r="67" spans="1:90" x14ac:dyDescent="0.25">
      <c r="A67" s="2" t="s">
        <v>171</v>
      </c>
      <c r="B67" s="2"/>
      <c r="C67" s="2" t="s">
        <v>150</v>
      </c>
      <c r="D67" s="2"/>
      <c r="E67" s="2"/>
      <c r="F67" s="2"/>
      <c r="G67" s="2"/>
      <c r="H67" s="2">
        <v>2362.902</v>
      </c>
      <c r="I67" s="2">
        <v>5467</v>
      </c>
      <c r="J67" s="2">
        <v>0</v>
      </c>
      <c r="K67" s="2">
        <v>5467</v>
      </c>
      <c r="L67" s="2"/>
      <c r="M67" s="2">
        <v>651488</v>
      </c>
      <c r="N67" s="2"/>
      <c r="O67" s="2"/>
      <c r="P67" s="2">
        <v>242.77948617209961</v>
      </c>
      <c r="Q67" s="2">
        <v>1628411236289</v>
      </c>
      <c r="R67" s="2">
        <v>17.979967860278595</v>
      </c>
      <c r="S67" s="2"/>
      <c r="T67" s="2" t="s">
        <v>646</v>
      </c>
      <c r="U67" s="2"/>
      <c r="V67" s="2">
        <v>37.337744999545727</v>
      </c>
      <c r="W67" s="2">
        <v>-95.510501875514194</v>
      </c>
      <c r="X67" s="2" t="s">
        <v>647</v>
      </c>
      <c r="Y67" s="2"/>
      <c r="Z67" s="2">
        <v>1628411236289</v>
      </c>
      <c r="AA67" s="2">
        <v>232.04981030064999</v>
      </c>
      <c r="AB67" s="2">
        <v>1628411944340</v>
      </c>
      <c r="AC67" s="2">
        <v>16.814136354419173</v>
      </c>
      <c r="AD67" s="2"/>
      <c r="AE67" s="2" t="s">
        <v>646</v>
      </c>
      <c r="AF67" s="2"/>
      <c r="AG67" s="2">
        <v>37.352449871446879</v>
      </c>
      <c r="AH67" s="2">
        <v>-95.529797893254525</v>
      </c>
      <c r="AI67" s="2" t="s">
        <v>647</v>
      </c>
      <c r="AJ67" s="2"/>
      <c r="AK67" s="2">
        <v>1628411887777</v>
      </c>
      <c r="AL67" s="2">
        <v>1</v>
      </c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 t="s">
        <v>648</v>
      </c>
      <c r="BA67" s="2" t="s">
        <v>647</v>
      </c>
      <c r="BB67" s="2" t="s">
        <v>175</v>
      </c>
      <c r="BC67" s="2"/>
      <c r="BD67" s="2"/>
      <c r="BE67" s="2"/>
      <c r="BF67" s="2" t="s">
        <v>176</v>
      </c>
      <c r="BG67" s="2" t="s">
        <v>649</v>
      </c>
      <c r="BH67" s="2" t="s">
        <v>650</v>
      </c>
      <c r="BI67" s="2">
        <v>116</v>
      </c>
      <c r="BJ67" s="2"/>
      <c r="BK67" s="2"/>
      <c r="BL67" s="2"/>
      <c r="BM67" s="2"/>
      <c r="BN67" s="2"/>
      <c r="BO67" s="2"/>
      <c r="BP67" s="2" t="s">
        <v>179</v>
      </c>
      <c r="BQ67" s="2" t="s">
        <v>180</v>
      </c>
      <c r="BR67" s="2" t="s">
        <v>181</v>
      </c>
      <c r="BS67" s="2"/>
      <c r="BT67" s="2" t="s">
        <v>651</v>
      </c>
      <c r="BU67" s="2" t="s">
        <v>652</v>
      </c>
      <c r="BV67" s="2" t="s">
        <v>152</v>
      </c>
      <c r="BW67" s="2" t="s">
        <v>646</v>
      </c>
      <c r="BX67" s="2">
        <v>1628411890036</v>
      </c>
      <c r="BY67" s="2">
        <v>66</v>
      </c>
      <c r="BZ67" s="2">
        <v>242.50987153952423</v>
      </c>
      <c r="CA67" s="2">
        <v>1628411230289</v>
      </c>
      <c r="CB67" s="2"/>
      <c r="CC67" s="2"/>
      <c r="CD67" s="2"/>
      <c r="CE67" s="2"/>
      <c r="CF67" s="2">
        <v>37.33773321738628</v>
      </c>
      <c r="CG67" s="2">
        <v>-95.510704686381203</v>
      </c>
      <c r="CH67" s="2" t="s">
        <v>647</v>
      </c>
      <c r="CI67" s="2"/>
      <c r="CJ67" s="2">
        <v>1628411236289</v>
      </c>
      <c r="CK67" s="2" t="s">
        <v>184</v>
      </c>
      <c r="CL67" s="2" t="s">
        <v>185</v>
      </c>
    </row>
    <row r="68" spans="1:90" x14ac:dyDescent="0.25">
      <c r="A68" s="2" t="s">
        <v>171</v>
      </c>
      <c r="B68" s="2">
        <v>1628411286635</v>
      </c>
      <c r="C68" s="2" t="s">
        <v>150</v>
      </c>
      <c r="D68" s="2"/>
      <c r="E68" s="2"/>
      <c r="F68" s="2"/>
      <c r="G68" s="2"/>
      <c r="H68" s="2">
        <v>73.563999999999993</v>
      </c>
      <c r="I68" s="2">
        <v>96</v>
      </c>
      <c r="J68" s="2">
        <v>0</v>
      </c>
      <c r="K68" s="2">
        <v>96</v>
      </c>
      <c r="L68" s="2"/>
      <c r="M68" s="2">
        <v>38002</v>
      </c>
      <c r="N68" s="2"/>
      <c r="O68" s="2">
        <v>1628411286635</v>
      </c>
      <c r="P68" s="2">
        <v>243.13469680577921</v>
      </c>
      <c r="Q68" s="2">
        <v>1628411248633</v>
      </c>
      <c r="R68" s="2">
        <v>17.979962265698024</v>
      </c>
      <c r="S68" s="2"/>
      <c r="T68" s="2" t="s">
        <v>653</v>
      </c>
      <c r="U68" s="2"/>
      <c r="V68" s="2">
        <v>37.337683620081776</v>
      </c>
      <c r="W68" s="2">
        <v>-95.509704042092281</v>
      </c>
      <c r="X68" s="2" t="s">
        <v>654</v>
      </c>
      <c r="Y68" s="2"/>
      <c r="Z68" s="2">
        <v>1628411248633</v>
      </c>
      <c r="AA68" s="2">
        <v>242.16689180453045</v>
      </c>
      <c r="AB68" s="2">
        <v>1628411284635</v>
      </c>
      <c r="AC68" s="2">
        <v>19.859073386652835</v>
      </c>
      <c r="AD68" s="2"/>
      <c r="AE68" s="2" t="s">
        <v>653</v>
      </c>
      <c r="AF68" s="2"/>
      <c r="AG68" s="2">
        <v>37.33716243579876</v>
      </c>
      <c r="AH68" s="2">
        <v>-95.51021644856506</v>
      </c>
      <c r="AI68" s="2" t="s">
        <v>654</v>
      </c>
      <c r="AJ68" s="2"/>
      <c r="AK68" s="2">
        <v>1628411286635</v>
      </c>
      <c r="AL68" s="2">
        <v>1</v>
      </c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 t="s">
        <v>655</v>
      </c>
      <c r="BA68" s="2" t="s">
        <v>654</v>
      </c>
      <c r="BB68" s="2" t="s">
        <v>189</v>
      </c>
      <c r="BC68" s="2"/>
      <c r="BD68" s="2"/>
      <c r="BE68" s="2"/>
      <c r="BF68" s="2" t="s">
        <v>190</v>
      </c>
      <c r="BG68" s="2" t="s">
        <v>656</v>
      </c>
      <c r="BH68" s="2" t="s">
        <v>657</v>
      </c>
      <c r="BI68" s="2">
        <v>6</v>
      </c>
      <c r="BJ68" s="2"/>
      <c r="BK68" s="2"/>
      <c r="BL68" s="2"/>
      <c r="BM68" s="2"/>
      <c r="BN68" s="2"/>
      <c r="BO68" s="2"/>
      <c r="BP68" s="2" t="s">
        <v>179</v>
      </c>
      <c r="BQ68" s="2" t="s">
        <v>193</v>
      </c>
      <c r="BR68" s="2" t="s">
        <v>194</v>
      </c>
      <c r="BS68" s="2"/>
      <c r="BT68" s="2" t="s">
        <v>658</v>
      </c>
      <c r="BU68" s="2" t="s">
        <v>659</v>
      </c>
      <c r="BV68" s="2" t="s">
        <v>152</v>
      </c>
      <c r="BW68" s="2" t="s">
        <v>653</v>
      </c>
      <c r="BX68" s="2">
        <v>1628411290280</v>
      </c>
      <c r="BY68" s="2">
        <v>67</v>
      </c>
      <c r="BZ68" s="2">
        <v>243.17387872042161</v>
      </c>
      <c r="CA68" s="2">
        <v>1628411242632</v>
      </c>
      <c r="CB68" s="2"/>
      <c r="CC68" s="2"/>
      <c r="CD68" s="2"/>
      <c r="CE68" s="2"/>
      <c r="CF68" s="2">
        <v>37.337833086025498</v>
      </c>
      <c r="CG68" s="2">
        <v>-95.509626448840663</v>
      </c>
      <c r="CH68" s="2" t="s">
        <v>654</v>
      </c>
      <c r="CI68" s="2"/>
      <c r="CJ68" s="2">
        <v>1628411248633</v>
      </c>
      <c r="CK68" s="2" t="s">
        <v>215</v>
      </c>
      <c r="CL68" s="2" t="s">
        <v>216</v>
      </c>
    </row>
    <row r="69" spans="1:90" x14ac:dyDescent="0.25">
      <c r="A69" s="2" t="s">
        <v>171</v>
      </c>
      <c r="B69" s="2"/>
      <c r="C69" s="2" t="s">
        <v>150</v>
      </c>
      <c r="D69" s="2"/>
      <c r="E69" s="2"/>
      <c r="F69" s="2"/>
      <c r="G69" s="2"/>
      <c r="H69" s="2">
        <v>2376.9949999999999</v>
      </c>
      <c r="I69" s="2">
        <v>5486</v>
      </c>
      <c r="J69" s="2">
        <v>0</v>
      </c>
      <c r="K69" s="2">
        <v>5486</v>
      </c>
      <c r="L69" s="2"/>
      <c r="M69" s="2">
        <v>632184</v>
      </c>
      <c r="N69" s="2"/>
      <c r="O69" s="2"/>
      <c r="P69" s="2">
        <v>242.77948617209961</v>
      </c>
      <c r="Q69" s="2">
        <v>1628411250509</v>
      </c>
      <c r="R69" s="2">
        <v>17.979967860278595</v>
      </c>
      <c r="S69" s="2"/>
      <c r="T69" s="2" t="s">
        <v>660</v>
      </c>
      <c r="U69" s="2"/>
      <c r="V69" s="2">
        <v>37.337744999545727</v>
      </c>
      <c r="W69" s="2">
        <v>-95.510501875514194</v>
      </c>
      <c r="X69" s="2" t="s">
        <v>661</v>
      </c>
      <c r="Y69" s="2"/>
      <c r="Z69" s="2">
        <v>1628411250509</v>
      </c>
      <c r="AA69" s="2">
        <v>229.08</v>
      </c>
      <c r="AB69" s="2">
        <v>1628411992568</v>
      </c>
      <c r="AC69" s="2">
        <v>19.490436119372024</v>
      </c>
      <c r="AD69" s="2"/>
      <c r="AE69" s="2" t="s">
        <v>660</v>
      </c>
      <c r="AF69" s="2"/>
      <c r="AG69" s="2">
        <v>37.352451629999997</v>
      </c>
      <c r="AH69" s="2">
        <v>-95.530015809999995</v>
      </c>
      <c r="AI69" s="2" t="s">
        <v>661</v>
      </c>
      <c r="AJ69" s="2"/>
      <c r="AK69" s="2">
        <v>1628411882693</v>
      </c>
      <c r="AL69" s="2">
        <v>1</v>
      </c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 t="s">
        <v>662</v>
      </c>
      <c r="BA69" s="2" t="s">
        <v>661</v>
      </c>
      <c r="BB69" s="2" t="s">
        <v>175</v>
      </c>
      <c r="BC69" s="2"/>
      <c r="BD69" s="2"/>
      <c r="BE69" s="2"/>
      <c r="BF69" s="2" t="s">
        <v>176</v>
      </c>
      <c r="BG69" s="2" t="s">
        <v>663</v>
      </c>
      <c r="BH69" s="2" t="s">
        <v>664</v>
      </c>
      <c r="BI69" s="2">
        <v>117</v>
      </c>
      <c r="BJ69" s="2"/>
      <c r="BK69" s="2"/>
      <c r="BL69" s="2"/>
      <c r="BM69" s="2"/>
      <c r="BN69" s="2"/>
      <c r="BO69" s="2"/>
      <c r="BP69" s="2" t="s">
        <v>179</v>
      </c>
      <c r="BQ69" s="2" t="s">
        <v>180</v>
      </c>
      <c r="BR69" s="2" t="s">
        <v>181</v>
      </c>
      <c r="BS69" s="2"/>
      <c r="BT69" s="2" t="s">
        <v>665</v>
      </c>
      <c r="BU69" s="2" t="s">
        <v>666</v>
      </c>
      <c r="BV69" s="2" t="s">
        <v>152</v>
      </c>
      <c r="BW69" s="2" t="s">
        <v>660</v>
      </c>
      <c r="BX69" s="2">
        <v>1628411890020</v>
      </c>
      <c r="BY69" s="2">
        <v>68</v>
      </c>
      <c r="BZ69" s="2">
        <v>242.50987153952423</v>
      </c>
      <c r="CA69" s="2">
        <v>1628411244508</v>
      </c>
      <c r="CB69" s="2"/>
      <c r="CC69" s="2"/>
      <c r="CD69" s="2"/>
      <c r="CE69" s="2"/>
      <c r="CF69" s="2">
        <v>37.33773321738628</v>
      </c>
      <c r="CG69" s="2">
        <v>-95.510704686381203</v>
      </c>
      <c r="CH69" s="2" t="s">
        <v>661</v>
      </c>
      <c r="CI69" s="2"/>
      <c r="CJ69" s="2">
        <v>1628411250509</v>
      </c>
      <c r="CK69" s="2" t="s">
        <v>184</v>
      </c>
      <c r="CL69" s="2" t="s">
        <v>185</v>
      </c>
    </row>
    <row r="70" spans="1:90" x14ac:dyDescent="0.25">
      <c r="A70" s="2" t="s">
        <v>171</v>
      </c>
      <c r="B70" s="2"/>
      <c r="C70" s="2" t="s">
        <v>150</v>
      </c>
      <c r="D70" s="2"/>
      <c r="E70" s="2"/>
      <c r="F70" s="2"/>
      <c r="G70" s="2"/>
      <c r="H70" s="2">
        <v>2376.9949999999999</v>
      </c>
      <c r="I70" s="2">
        <v>5486</v>
      </c>
      <c r="J70" s="2">
        <v>0</v>
      </c>
      <c r="K70" s="2">
        <v>5486</v>
      </c>
      <c r="L70" s="2"/>
      <c r="M70" s="2">
        <v>731668</v>
      </c>
      <c r="N70" s="2"/>
      <c r="O70" s="2"/>
      <c r="P70" s="2">
        <v>242.77948617209961</v>
      </c>
      <c r="Q70" s="2">
        <v>1628411254517</v>
      </c>
      <c r="R70" s="2">
        <v>17.979967860278595</v>
      </c>
      <c r="S70" s="2"/>
      <c r="T70" s="2" t="s">
        <v>667</v>
      </c>
      <c r="U70" s="2"/>
      <c r="V70" s="2">
        <v>37.337744999545727</v>
      </c>
      <c r="W70" s="2">
        <v>-95.510501875514194</v>
      </c>
      <c r="X70" s="2" t="s">
        <v>668</v>
      </c>
      <c r="Y70" s="2"/>
      <c r="Z70" s="2">
        <v>1628411254517</v>
      </c>
      <c r="AA70" s="2">
        <v>229.08</v>
      </c>
      <c r="AB70" s="2">
        <v>1628411996571</v>
      </c>
      <c r="AC70" s="2">
        <v>19.490436119372024</v>
      </c>
      <c r="AD70" s="2"/>
      <c r="AE70" s="2" t="s">
        <v>667</v>
      </c>
      <c r="AF70" s="2"/>
      <c r="AG70" s="2">
        <v>37.352451629999997</v>
      </c>
      <c r="AH70" s="2">
        <v>-95.530015809999995</v>
      </c>
      <c r="AI70" s="2" t="s">
        <v>668</v>
      </c>
      <c r="AJ70" s="2"/>
      <c r="AK70" s="2">
        <v>1628411986185</v>
      </c>
      <c r="AL70" s="2">
        <v>1</v>
      </c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 t="s">
        <v>669</v>
      </c>
      <c r="BA70" s="2" t="s">
        <v>668</v>
      </c>
      <c r="BB70" s="2" t="s">
        <v>175</v>
      </c>
      <c r="BC70" s="2"/>
      <c r="BD70" s="2"/>
      <c r="BE70" s="2"/>
      <c r="BF70" s="2" t="s">
        <v>176</v>
      </c>
      <c r="BG70" s="2" t="s">
        <v>670</v>
      </c>
      <c r="BH70" s="2" t="s">
        <v>671</v>
      </c>
      <c r="BI70" s="2">
        <v>117</v>
      </c>
      <c r="BJ70" s="2"/>
      <c r="BK70" s="2"/>
      <c r="BL70" s="2"/>
      <c r="BM70" s="2"/>
      <c r="BN70" s="2"/>
      <c r="BO70" s="2"/>
      <c r="BP70" s="2" t="s">
        <v>179</v>
      </c>
      <c r="BQ70" s="2" t="s">
        <v>180</v>
      </c>
      <c r="BR70" s="2" t="s">
        <v>181</v>
      </c>
      <c r="BS70" s="2"/>
      <c r="BT70" s="2" t="s">
        <v>672</v>
      </c>
      <c r="BU70" s="2" t="s">
        <v>673</v>
      </c>
      <c r="BV70" s="2" t="s">
        <v>152</v>
      </c>
      <c r="BW70" s="2" t="s">
        <v>667</v>
      </c>
      <c r="BX70" s="2">
        <v>1628411987684</v>
      </c>
      <c r="BY70" s="2">
        <v>69</v>
      </c>
      <c r="BZ70" s="2">
        <v>242.50987153952423</v>
      </c>
      <c r="CA70" s="2">
        <v>1628411248516</v>
      </c>
      <c r="CB70" s="2"/>
      <c r="CC70" s="2"/>
      <c r="CD70" s="2"/>
      <c r="CE70" s="2"/>
      <c r="CF70" s="2">
        <v>37.33773321738628</v>
      </c>
      <c r="CG70" s="2">
        <v>-95.510704686381203</v>
      </c>
      <c r="CH70" s="2" t="s">
        <v>668</v>
      </c>
      <c r="CI70" s="2"/>
      <c r="CJ70" s="2">
        <v>1628411254517</v>
      </c>
      <c r="CK70" s="2" t="s">
        <v>184</v>
      </c>
      <c r="CL70" s="2" t="s">
        <v>185</v>
      </c>
    </row>
    <row r="71" spans="1:90" x14ac:dyDescent="0.25">
      <c r="A71" s="2" t="s">
        <v>171</v>
      </c>
      <c r="B71" s="2"/>
      <c r="C71" s="2" t="s">
        <v>150</v>
      </c>
      <c r="D71" s="2"/>
      <c r="E71" s="2"/>
      <c r="F71" s="2"/>
      <c r="G71" s="2"/>
      <c r="H71" s="2">
        <v>177.744</v>
      </c>
      <c r="I71" s="2">
        <v>215</v>
      </c>
      <c r="J71" s="2">
        <v>0</v>
      </c>
      <c r="K71" s="2">
        <v>215</v>
      </c>
      <c r="L71" s="2"/>
      <c r="M71" s="2">
        <v>82005</v>
      </c>
      <c r="N71" s="2"/>
      <c r="O71" s="2"/>
      <c r="P71" s="2">
        <v>239.20345158495559</v>
      </c>
      <c r="Q71" s="2">
        <v>1628411269607</v>
      </c>
      <c r="R71" s="2">
        <v>17.254122936368272</v>
      </c>
      <c r="S71" s="2"/>
      <c r="T71" s="2" t="s">
        <v>674</v>
      </c>
      <c r="U71" s="2"/>
      <c r="V71" s="2">
        <v>37.334969705609659</v>
      </c>
      <c r="W71" s="2">
        <v>-95.533947722580564</v>
      </c>
      <c r="X71" s="2" t="s">
        <v>675</v>
      </c>
      <c r="Y71" s="2"/>
      <c r="Z71" s="2">
        <v>1628411257607</v>
      </c>
      <c r="AA71" s="2">
        <v>239.26164028933351</v>
      </c>
      <c r="AB71" s="2">
        <v>1628411335612</v>
      </c>
      <c r="AC71" s="2">
        <v>17.588364012510649</v>
      </c>
      <c r="AD71" s="2"/>
      <c r="AE71" s="2" t="s">
        <v>674</v>
      </c>
      <c r="AF71" s="2"/>
      <c r="AG71" s="2">
        <v>37.33350061678447</v>
      </c>
      <c r="AH71" s="2">
        <v>-95.5347401176669</v>
      </c>
      <c r="AI71" s="2" t="s">
        <v>675</v>
      </c>
      <c r="AJ71" s="2"/>
      <c r="AK71" s="2">
        <v>1628411339612</v>
      </c>
      <c r="AL71" s="2">
        <v>1</v>
      </c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 t="s">
        <v>676</v>
      </c>
      <c r="BA71" s="2" t="s">
        <v>675</v>
      </c>
      <c r="BB71" s="2" t="s">
        <v>202</v>
      </c>
      <c r="BC71" s="2"/>
      <c r="BD71" s="2"/>
      <c r="BE71" s="2"/>
      <c r="BF71" s="2" t="s">
        <v>203</v>
      </c>
      <c r="BG71" s="2" t="s">
        <v>677</v>
      </c>
      <c r="BH71" s="2" t="s">
        <v>678</v>
      </c>
      <c r="BI71" s="2">
        <v>12</v>
      </c>
      <c r="BJ71" s="2"/>
      <c r="BK71" s="2"/>
      <c r="BL71" s="2"/>
      <c r="BM71" s="2"/>
      <c r="BN71" s="2"/>
      <c r="BO71" s="2"/>
      <c r="BP71" s="2" t="s">
        <v>179</v>
      </c>
      <c r="BQ71" s="2" t="s">
        <v>193</v>
      </c>
      <c r="BR71" s="2" t="s">
        <v>194</v>
      </c>
      <c r="BS71" s="2"/>
      <c r="BT71" s="2" t="s">
        <v>679</v>
      </c>
      <c r="BU71" s="2" t="s">
        <v>680</v>
      </c>
      <c r="BV71" s="2" t="s">
        <v>152</v>
      </c>
      <c r="BW71" s="2" t="s">
        <v>674</v>
      </c>
      <c r="BX71" s="2">
        <v>1628411344146</v>
      </c>
      <c r="BY71" s="2">
        <v>70</v>
      </c>
      <c r="BZ71" s="2">
        <v>239.16593305560011</v>
      </c>
      <c r="CA71" s="2">
        <v>1628411253606</v>
      </c>
      <c r="CB71" s="2"/>
      <c r="CC71" s="2"/>
      <c r="CD71" s="2"/>
      <c r="CE71" s="2"/>
      <c r="CF71" s="2">
        <v>37.334929057483144</v>
      </c>
      <c r="CG71" s="2">
        <v>-95.533759381107643</v>
      </c>
      <c r="CH71" s="2" t="s">
        <v>675</v>
      </c>
      <c r="CI71" s="2"/>
      <c r="CJ71" s="2">
        <v>1628411257607</v>
      </c>
      <c r="CK71" s="2" t="s">
        <v>197</v>
      </c>
      <c r="CL71" s="2" t="s">
        <v>198</v>
      </c>
    </row>
    <row r="72" spans="1:90" x14ac:dyDescent="0.25">
      <c r="A72" s="2" t="s">
        <v>171</v>
      </c>
      <c r="B72" s="2"/>
      <c r="C72" s="2" t="s">
        <v>150</v>
      </c>
      <c r="D72" s="2"/>
      <c r="E72" s="2"/>
      <c r="F72" s="2"/>
      <c r="G72" s="2"/>
      <c r="H72" s="2">
        <v>177.744</v>
      </c>
      <c r="I72" s="2">
        <v>215</v>
      </c>
      <c r="J72" s="2">
        <v>0</v>
      </c>
      <c r="K72" s="2">
        <v>215</v>
      </c>
      <c r="L72" s="2"/>
      <c r="M72" s="2">
        <v>82007</v>
      </c>
      <c r="N72" s="2"/>
      <c r="O72" s="2"/>
      <c r="P72" s="2">
        <v>239.20345158495559</v>
      </c>
      <c r="Q72" s="2">
        <v>1628411280972</v>
      </c>
      <c r="R72" s="2">
        <v>17.254122936368272</v>
      </c>
      <c r="S72" s="2"/>
      <c r="T72" s="2" t="s">
        <v>681</v>
      </c>
      <c r="U72" s="2"/>
      <c r="V72" s="2">
        <v>37.334969705609659</v>
      </c>
      <c r="W72" s="2">
        <v>-95.533947722580564</v>
      </c>
      <c r="X72" s="2" t="s">
        <v>682</v>
      </c>
      <c r="Y72" s="2"/>
      <c r="Z72" s="2">
        <v>1628411268971</v>
      </c>
      <c r="AA72" s="2">
        <v>239.26164028933351</v>
      </c>
      <c r="AB72" s="2">
        <v>1628411346978</v>
      </c>
      <c r="AC72" s="2">
        <v>17.588364012510649</v>
      </c>
      <c r="AD72" s="2"/>
      <c r="AE72" s="2" t="s">
        <v>681</v>
      </c>
      <c r="AF72" s="2"/>
      <c r="AG72" s="2">
        <v>37.33350061678447</v>
      </c>
      <c r="AH72" s="2">
        <v>-95.5347401176669</v>
      </c>
      <c r="AI72" s="2" t="s">
        <v>682</v>
      </c>
      <c r="AJ72" s="2"/>
      <c r="AK72" s="2">
        <v>1628411350978</v>
      </c>
      <c r="AL72" s="2">
        <v>1</v>
      </c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 t="s">
        <v>683</v>
      </c>
      <c r="BA72" s="2" t="s">
        <v>682</v>
      </c>
      <c r="BB72" s="2" t="s">
        <v>202</v>
      </c>
      <c r="BC72" s="2"/>
      <c r="BD72" s="2"/>
      <c r="BE72" s="2"/>
      <c r="BF72" s="2" t="s">
        <v>203</v>
      </c>
      <c r="BG72" s="2" t="s">
        <v>684</v>
      </c>
      <c r="BH72" s="2" t="s">
        <v>685</v>
      </c>
      <c r="BI72" s="2">
        <v>12</v>
      </c>
      <c r="BJ72" s="2"/>
      <c r="BK72" s="2"/>
      <c r="BL72" s="2"/>
      <c r="BM72" s="2"/>
      <c r="BN72" s="2"/>
      <c r="BO72" s="2"/>
      <c r="BP72" s="2" t="s">
        <v>179</v>
      </c>
      <c r="BQ72" s="2" t="s">
        <v>285</v>
      </c>
      <c r="BR72" s="2" t="s">
        <v>286</v>
      </c>
      <c r="BS72" s="2"/>
      <c r="BT72" s="2" t="s">
        <v>686</v>
      </c>
      <c r="BU72" s="2" t="s">
        <v>687</v>
      </c>
      <c r="BV72" s="2" t="s">
        <v>152</v>
      </c>
      <c r="BW72" s="2" t="s">
        <v>681</v>
      </c>
      <c r="BX72" s="2">
        <v>1628411352169</v>
      </c>
      <c r="BY72" s="2">
        <v>71</v>
      </c>
      <c r="BZ72" s="2">
        <v>239.16593305560011</v>
      </c>
      <c r="CA72" s="2">
        <v>1628411264971</v>
      </c>
      <c r="CB72" s="2"/>
      <c r="CC72" s="2"/>
      <c r="CD72" s="2"/>
      <c r="CE72" s="2"/>
      <c r="CF72" s="2">
        <v>37.334929057483144</v>
      </c>
      <c r="CG72" s="2">
        <v>-95.533759381107643</v>
      </c>
      <c r="CH72" s="2" t="s">
        <v>682</v>
      </c>
      <c r="CI72" s="2"/>
      <c r="CJ72" s="2">
        <v>1628411268971</v>
      </c>
      <c r="CK72" s="2" t="s">
        <v>197</v>
      </c>
      <c r="CL72" s="2" t="s">
        <v>198</v>
      </c>
    </row>
    <row r="73" spans="1:90" x14ac:dyDescent="0.25">
      <c r="A73" s="2" t="s">
        <v>171</v>
      </c>
      <c r="B73" s="2"/>
      <c r="C73" s="2" t="s">
        <v>150</v>
      </c>
      <c r="D73" s="2"/>
      <c r="E73" s="2"/>
      <c r="F73" s="2"/>
      <c r="G73" s="2"/>
      <c r="H73" s="2">
        <v>177.744</v>
      </c>
      <c r="I73" s="2">
        <v>215</v>
      </c>
      <c r="J73" s="2">
        <v>0</v>
      </c>
      <c r="K73" s="2">
        <v>215</v>
      </c>
      <c r="L73" s="2"/>
      <c r="M73" s="2">
        <v>82007</v>
      </c>
      <c r="N73" s="2"/>
      <c r="O73" s="2"/>
      <c r="P73" s="2">
        <v>239.20345158495559</v>
      </c>
      <c r="Q73" s="2">
        <v>1628411282152</v>
      </c>
      <c r="R73" s="2">
        <v>17.254122936368272</v>
      </c>
      <c r="S73" s="2"/>
      <c r="T73" s="2" t="s">
        <v>688</v>
      </c>
      <c r="U73" s="2"/>
      <c r="V73" s="2">
        <v>37.334969705609659</v>
      </c>
      <c r="W73" s="2">
        <v>-95.533947722580564</v>
      </c>
      <c r="X73" s="2" t="s">
        <v>689</v>
      </c>
      <c r="Y73" s="2"/>
      <c r="Z73" s="2">
        <v>1628411270152</v>
      </c>
      <c r="AA73" s="2">
        <v>239.26164028933351</v>
      </c>
      <c r="AB73" s="2">
        <v>1628411348159</v>
      </c>
      <c r="AC73" s="2">
        <v>17.588364012510649</v>
      </c>
      <c r="AD73" s="2"/>
      <c r="AE73" s="2" t="s">
        <v>688</v>
      </c>
      <c r="AF73" s="2"/>
      <c r="AG73" s="2">
        <v>37.33350061678447</v>
      </c>
      <c r="AH73" s="2">
        <v>-95.5347401176669</v>
      </c>
      <c r="AI73" s="2" t="s">
        <v>689</v>
      </c>
      <c r="AJ73" s="2"/>
      <c r="AK73" s="2">
        <v>1628411352159</v>
      </c>
      <c r="AL73" s="2">
        <v>1</v>
      </c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 t="s">
        <v>690</v>
      </c>
      <c r="BA73" s="2" t="s">
        <v>689</v>
      </c>
      <c r="BB73" s="2" t="s">
        <v>189</v>
      </c>
      <c r="BC73" s="2"/>
      <c r="BD73" s="2"/>
      <c r="BE73" s="2"/>
      <c r="BF73" s="2" t="s">
        <v>190</v>
      </c>
      <c r="BG73" s="2" t="s">
        <v>691</v>
      </c>
      <c r="BH73" s="2" t="s">
        <v>692</v>
      </c>
      <c r="BI73" s="2">
        <v>12</v>
      </c>
      <c r="BJ73" s="2"/>
      <c r="BK73" s="2"/>
      <c r="BL73" s="2"/>
      <c r="BM73" s="2"/>
      <c r="BN73" s="2"/>
      <c r="BO73" s="2"/>
      <c r="BP73" s="2" t="s">
        <v>179</v>
      </c>
      <c r="BQ73" s="2" t="s">
        <v>285</v>
      </c>
      <c r="BR73" s="2" t="s">
        <v>286</v>
      </c>
      <c r="BS73" s="2"/>
      <c r="BT73" s="2" t="s">
        <v>693</v>
      </c>
      <c r="BU73" s="2" t="s">
        <v>694</v>
      </c>
      <c r="BV73" s="2" t="s">
        <v>152</v>
      </c>
      <c r="BW73" s="2" t="s">
        <v>688</v>
      </c>
      <c r="BX73" s="2">
        <v>1628411357471</v>
      </c>
      <c r="BY73" s="2">
        <v>72</v>
      </c>
      <c r="BZ73" s="2">
        <v>239.16593305560011</v>
      </c>
      <c r="CA73" s="2">
        <v>1628411266152</v>
      </c>
      <c r="CB73" s="2"/>
      <c r="CC73" s="2"/>
      <c r="CD73" s="2"/>
      <c r="CE73" s="2"/>
      <c r="CF73" s="2">
        <v>37.334929057483144</v>
      </c>
      <c r="CG73" s="2">
        <v>-95.533759381107643</v>
      </c>
      <c r="CH73" s="2" t="s">
        <v>689</v>
      </c>
      <c r="CI73" s="2"/>
      <c r="CJ73" s="2">
        <v>1628411270152</v>
      </c>
      <c r="CK73" s="2" t="s">
        <v>197</v>
      </c>
      <c r="CL73" s="2" t="s">
        <v>198</v>
      </c>
    </row>
    <row r="74" spans="1:90" x14ac:dyDescent="0.25">
      <c r="A74" s="2" t="s">
        <v>171</v>
      </c>
      <c r="B74" s="2"/>
      <c r="C74" s="2" t="s">
        <v>150</v>
      </c>
      <c r="D74" s="2"/>
      <c r="E74" s="2"/>
      <c r="F74" s="2"/>
      <c r="G74" s="2"/>
      <c r="H74" s="2">
        <v>2378.973</v>
      </c>
      <c r="I74" s="2">
        <v>5468</v>
      </c>
      <c r="J74" s="2">
        <v>0</v>
      </c>
      <c r="K74" s="2">
        <v>5468</v>
      </c>
      <c r="L74" s="2"/>
      <c r="M74" s="2">
        <v>673934</v>
      </c>
      <c r="N74" s="2"/>
      <c r="O74" s="2"/>
      <c r="P74" s="2">
        <v>242.90379180037081</v>
      </c>
      <c r="Q74" s="2">
        <v>1628411300292</v>
      </c>
      <c r="R74" s="2">
        <v>8.2264690714642867</v>
      </c>
      <c r="S74" s="2"/>
      <c r="T74" s="2" t="s">
        <v>695</v>
      </c>
      <c r="U74" s="2"/>
      <c r="V74" s="2">
        <v>37.337784975899019</v>
      </c>
      <c r="W74" s="2">
        <v>-95.510423591244475</v>
      </c>
      <c r="X74" s="2" t="s">
        <v>696</v>
      </c>
      <c r="Y74" s="2"/>
      <c r="Z74" s="2">
        <v>1628411278292</v>
      </c>
      <c r="AA74" s="2">
        <v>229.08</v>
      </c>
      <c r="AB74" s="2">
        <v>1628412020345</v>
      </c>
      <c r="AC74" s="2">
        <v>19.490436119372024</v>
      </c>
      <c r="AD74" s="2"/>
      <c r="AE74" s="2" t="s">
        <v>695</v>
      </c>
      <c r="AF74" s="2"/>
      <c r="AG74" s="2">
        <v>37.352451629999997</v>
      </c>
      <c r="AH74" s="2">
        <v>-95.530015809999995</v>
      </c>
      <c r="AI74" s="2" t="s">
        <v>696</v>
      </c>
      <c r="AJ74" s="2"/>
      <c r="AK74" s="2">
        <v>1628411952226</v>
      </c>
      <c r="AL74" s="2">
        <v>1</v>
      </c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 t="s">
        <v>697</v>
      </c>
      <c r="BA74" s="2" t="s">
        <v>696</v>
      </c>
      <c r="BB74" s="2" t="s">
        <v>175</v>
      </c>
      <c r="BC74" s="2"/>
      <c r="BD74" s="2"/>
      <c r="BE74" s="2"/>
      <c r="BF74" s="2" t="s">
        <v>176</v>
      </c>
      <c r="BG74" s="2" t="s">
        <v>698</v>
      </c>
      <c r="BH74" s="2" t="s">
        <v>699</v>
      </c>
      <c r="BI74" s="2">
        <v>116</v>
      </c>
      <c r="BJ74" s="2"/>
      <c r="BK74" s="2"/>
      <c r="BL74" s="2"/>
      <c r="BM74" s="2"/>
      <c r="BN74" s="2"/>
      <c r="BO74" s="2"/>
      <c r="BP74" s="2" t="s">
        <v>179</v>
      </c>
      <c r="BQ74" s="2" t="s">
        <v>180</v>
      </c>
      <c r="BR74" s="2" t="s">
        <v>181</v>
      </c>
      <c r="BS74" s="2"/>
      <c r="BT74" s="2" t="s">
        <v>700</v>
      </c>
      <c r="BU74" s="2" t="s">
        <v>701</v>
      </c>
      <c r="BV74" s="2" t="s">
        <v>152</v>
      </c>
      <c r="BW74" s="2" t="s">
        <v>695</v>
      </c>
      <c r="BX74" s="2">
        <v>1628411955735</v>
      </c>
      <c r="BY74" s="2">
        <v>73</v>
      </c>
      <c r="BZ74" s="2">
        <v>242.77948617209961</v>
      </c>
      <c r="CA74" s="2">
        <v>1628411278292</v>
      </c>
      <c r="CB74" s="2"/>
      <c r="CC74" s="2"/>
      <c r="CD74" s="2"/>
      <c r="CE74" s="2"/>
      <c r="CF74" s="2">
        <v>37.337744999545727</v>
      </c>
      <c r="CG74" s="2">
        <v>-95.510501875514194</v>
      </c>
      <c r="CH74" s="2" t="s">
        <v>696</v>
      </c>
      <c r="CI74" s="2"/>
      <c r="CJ74" s="2">
        <v>1628411278292</v>
      </c>
      <c r="CK74" s="2" t="s">
        <v>184</v>
      </c>
      <c r="CL74" s="2" t="s">
        <v>185</v>
      </c>
    </row>
    <row r="75" spans="1:90" x14ac:dyDescent="0.25">
      <c r="A75" s="2" t="s">
        <v>171</v>
      </c>
      <c r="B75" s="2"/>
      <c r="C75" s="2" t="s">
        <v>150</v>
      </c>
      <c r="D75" s="2"/>
      <c r="E75" s="2"/>
      <c r="F75" s="2"/>
      <c r="G75" s="2"/>
      <c r="H75" s="2">
        <v>2362.902</v>
      </c>
      <c r="I75" s="2">
        <v>5467</v>
      </c>
      <c r="J75" s="2">
        <v>0</v>
      </c>
      <c r="K75" s="2">
        <v>5467</v>
      </c>
      <c r="L75" s="2"/>
      <c r="M75" s="2">
        <v>634677</v>
      </c>
      <c r="N75" s="2"/>
      <c r="O75" s="2"/>
      <c r="P75" s="2">
        <v>242.77948617209961</v>
      </c>
      <c r="Q75" s="2">
        <v>1628411288330</v>
      </c>
      <c r="R75" s="2">
        <v>17.979967860278595</v>
      </c>
      <c r="S75" s="2"/>
      <c r="T75" s="2" t="s">
        <v>702</v>
      </c>
      <c r="U75" s="2"/>
      <c r="V75" s="2">
        <v>37.337744999545727</v>
      </c>
      <c r="W75" s="2">
        <v>-95.510501875514194</v>
      </c>
      <c r="X75" s="2" t="s">
        <v>703</v>
      </c>
      <c r="Y75" s="2"/>
      <c r="Z75" s="2">
        <v>1628411288330</v>
      </c>
      <c r="AA75" s="2">
        <v>232.04981030064999</v>
      </c>
      <c r="AB75" s="2">
        <v>1628411996386</v>
      </c>
      <c r="AC75" s="2">
        <v>16.814136354419173</v>
      </c>
      <c r="AD75" s="2"/>
      <c r="AE75" s="2" t="s">
        <v>702</v>
      </c>
      <c r="AF75" s="2"/>
      <c r="AG75" s="2">
        <v>37.352449871446879</v>
      </c>
      <c r="AH75" s="2">
        <v>-95.529797893254525</v>
      </c>
      <c r="AI75" s="2" t="s">
        <v>703</v>
      </c>
      <c r="AJ75" s="2"/>
      <c r="AK75" s="2">
        <v>1628411923007</v>
      </c>
      <c r="AL75" s="2">
        <v>1</v>
      </c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 t="s">
        <v>704</v>
      </c>
      <c r="BA75" s="2" t="s">
        <v>703</v>
      </c>
      <c r="BB75" s="2" t="s">
        <v>175</v>
      </c>
      <c r="BC75" s="2"/>
      <c r="BD75" s="2"/>
      <c r="BE75" s="2"/>
      <c r="BF75" s="2" t="s">
        <v>176</v>
      </c>
      <c r="BG75" s="2" t="s">
        <v>705</v>
      </c>
      <c r="BH75" s="2" t="s">
        <v>706</v>
      </c>
      <c r="BI75" s="2">
        <v>116</v>
      </c>
      <c r="BJ75" s="2"/>
      <c r="BK75" s="2"/>
      <c r="BL75" s="2"/>
      <c r="BM75" s="2"/>
      <c r="BN75" s="2"/>
      <c r="BO75" s="2"/>
      <c r="BP75" s="2" t="s">
        <v>179</v>
      </c>
      <c r="BQ75" s="2" t="s">
        <v>180</v>
      </c>
      <c r="BR75" s="2" t="s">
        <v>181</v>
      </c>
      <c r="BS75" s="2"/>
      <c r="BT75" s="2" t="s">
        <v>707</v>
      </c>
      <c r="BU75" s="2" t="s">
        <v>708</v>
      </c>
      <c r="BV75" s="2" t="s">
        <v>152</v>
      </c>
      <c r="BW75" s="2" t="s">
        <v>702</v>
      </c>
      <c r="BX75" s="2">
        <v>1628411929883</v>
      </c>
      <c r="BY75" s="2">
        <v>74</v>
      </c>
      <c r="BZ75" s="2">
        <v>242.50987153952423</v>
      </c>
      <c r="CA75" s="2">
        <v>1628411282330</v>
      </c>
      <c r="CB75" s="2"/>
      <c r="CC75" s="2"/>
      <c r="CD75" s="2"/>
      <c r="CE75" s="2"/>
      <c r="CF75" s="2">
        <v>37.33773321738628</v>
      </c>
      <c r="CG75" s="2">
        <v>-95.510704686381203</v>
      </c>
      <c r="CH75" s="2" t="s">
        <v>703</v>
      </c>
      <c r="CI75" s="2"/>
      <c r="CJ75" s="2">
        <v>1628411288330</v>
      </c>
      <c r="CK75" s="2" t="s">
        <v>184</v>
      </c>
      <c r="CL75" s="2" t="s">
        <v>185</v>
      </c>
    </row>
    <row r="76" spans="1:90" x14ac:dyDescent="0.25">
      <c r="A76" s="2" t="s">
        <v>171</v>
      </c>
      <c r="B76" s="2"/>
      <c r="C76" s="2" t="s">
        <v>150</v>
      </c>
      <c r="D76" s="2"/>
      <c r="E76" s="2"/>
      <c r="F76" s="2"/>
      <c r="G76" s="2"/>
      <c r="H76" s="2">
        <v>2376.9949999999999</v>
      </c>
      <c r="I76" s="2">
        <v>5486</v>
      </c>
      <c r="J76" s="2">
        <v>0</v>
      </c>
      <c r="K76" s="2">
        <v>5486</v>
      </c>
      <c r="L76" s="2"/>
      <c r="M76" s="2">
        <v>653823</v>
      </c>
      <c r="N76" s="2"/>
      <c r="O76" s="2"/>
      <c r="P76" s="2">
        <v>242.77948617209961</v>
      </c>
      <c r="Q76" s="2">
        <v>1628411292727</v>
      </c>
      <c r="R76" s="2">
        <v>17.979967860278595</v>
      </c>
      <c r="S76" s="2"/>
      <c r="T76" s="2" t="s">
        <v>709</v>
      </c>
      <c r="U76" s="2"/>
      <c r="V76" s="2">
        <v>37.337744999545727</v>
      </c>
      <c r="W76" s="2">
        <v>-95.510501875514194</v>
      </c>
      <c r="X76" s="2" t="s">
        <v>710</v>
      </c>
      <c r="Y76" s="2"/>
      <c r="Z76" s="2">
        <v>1628411292727</v>
      </c>
      <c r="AA76" s="2">
        <v>229.08</v>
      </c>
      <c r="AB76" s="2">
        <v>1628412034790</v>
      </c>
      <c r="AC76" s="2">
        <v>19.490436119372024</v>
      </c>
      <c r="AD76" s="2"/>
      <c r="AE76" s="2" t="s">
        <v>709</v>
      </c>
      <c r="AF76" s="2"/>
      <c r="AG76" s="2">
        <v>37.352451629999997</v>
      </c>
      <c r="AH76" s="2">
        <v>-95.530015809999995</v>
      </c>
      <c r="AI76" s="2" t="s">
        <v>710</v>
      </c>
      <c r="AJ76" s="2"/>
      <c r="AK76" s="2">
        <v>1628411946550</v>
      </c>
      <c r="AL76" s="2">
        <v>1</v>
      </c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 t="s">
        <v>711</v>
      </c>
      <c r="BA76" s="2" t="s">
        <v>710</v>
      </c>
      <c r="BB76" s="2" t="s">
        <v>175</v>
      </c>
      <c r="BC76" s="2"/>
      <c r="BD76" s="2"/>
      <c r="BE76" s="2"/>
      <c r="BF76" s="2" t="s">
        <v>176</v>
      </c>
      <c r="BG76" s="2" t="s">
        <v>712</v>
      </c>
      <c r="BH76" s="2" t="s">
        <v>713</v>
      </c>
      <c r="BI76" s="2">
        <v>117</v>
      </c>
      <c r="BJ76" s="2"/>
      <c r="BK76" s="2"/>
      <c r="BL76" s="2"/>
      <c r="BM76" s="2"/>
      <c r="BN76" s="2"/>
      <c r="BO76" s="2"/>
      <c r="BP76" s="2" t="s">
        <v>179</v>
      </c>
      <c r="BQ76" s="2" t="s">
        <v>180</v>
      </c>
      <c r="BR76" s="2" t="s">
        <v>181</v>
      </c>
      <c r="BS76" s="2"/>
      <c r="BT76" s="2" t="s">
        <v>714</v>
      </c>
      <c r="BU76" s="2" t="s">
        <v>715</v>
      </c>
      <c r="BV76" s="2" t="s">
        <v>152</v>
      </c>
      <c r="BW76" s="2" t="s">
        <v>709</v>
      </c>
      <c r="BX76" s="2">
        <v>1628411949219</v>
      </c>
      <c r="BY76" s="2">
        <v>75</v>
      </c>
      <c r="BZ76" s="2">
        <v>242.50987153952423</v>
      </c>
      <c r="CA76" s="2">
        <v>1628411286726</v>
      </c>
      <c r="CB76" s="2"/>
      <c r="CC76" s="2"/>
      <c r="CD76" s="2"/>
      <c r="CE76" s="2"/>
      <c r="CF76" s="2">
        <v>37.33773321738628</v>
      </c>
      <c r="CG76" s="2">
        <v>-95.510704686381203</v>
      </c>
      <c r="CH76" s="2" t="s">
        <v>710</v>
      </c>
      <c r="CI76" s="2"/>
      <c r="CJ76" s="2">
        <v>1628411292727</v>
      </c>
      <c r="CK76" s="2" t="s">
        <v>184</v>
      </c>
      <c r="CL76" s="2" t="s">
        <v>185</v>
      </c>
    </row>
    <row r="77" spans="1:90" x14ac:dyDescent="0.25">
      <c r="A77" s="2" t="s">
        <v>171</v>
      </c>
      <c r="B77" s="2"/>
      <c r="C77" s="2" t="s">
        <v>150</v>
      </c>
      <c r="D77" s="2"/>
      <c r="E77" s="2"/>
      <c r="F77" s="2"/>
      <c r="G77" s="2"/>
      <c r="H77" s="2">
        <v>2364.835</v>
      </c>
      <c r="I77" s="2">
        <v>5449</v>
      </c>
      <c r="J77" s="2">
        <v>0</v>
      </c>
      <c r="K77" s="2">
        <v>5449</v>
      </c>
      <c r="L77" s="2"/>
      <c r="M77" s="2">
        <v>696545</v>
      </c>
      <c r="N77" s="2"/>
      <c r="O77" s="2"/>
      <c r="P77" s="2">
        <v>242.90379180037081</v>
      </c>
      <c r="Q77" s="2">
        <v>1628411342296</v>
      </c>
      <c r="R77" s="2">
        <v>8.2264690714642867</v>
      </c>
      <c r="S77" s="2"/>
      <c r="T77" s="2" t="s">
        <v>716</v>
      </c>
      <c r="U77" s="2"/>
      <c r="V77" s="2">
        <v>37.337784975899019</v>
      </c>
      <c r="W77" s="2">
        <v>-95.510423591244475</v>
      </c>
      <c r="X77" s="2" t="s">
        <v>717</v>
      </c>
      <c r="Y77" s="2"/>
      <c r="Z77" s="2">
        <v>1628411320296</v>
      </c>
      <c r="AA77" s="2">
        <v>232.04981030064999</v>
      </c>
      <c r="AB77" s="2">
        <v>1628412028347</v>
      </c>
      <c r="AC77" s="2">
        <v>16.814136354419173</v>
      </c>
      <c r="AD77" s="2"/>
      <c r="AE77" s="2" t="s">
        <v>716</v>
      </c>
      <c r="AF77" s="2"/>
      <c r="AG77" s="2">
        <v>37.352449871446879</v>
      </c>
      <c r="AH77" s="2">
        <v>-95.529797893254525</v>
      </c>
      <c r="AI77" s="2" t="s">
        <v>717</v>
      </c>
      <c r="AJ77" s="2"/>
      <c r="AK77" s="2">
        <v>1628412016841</v>
      </c>
      <c r="AL77" s="2">
        <v>1</v>
      </c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 t="s">
        <v>718</v>
      </c>
      <c r="BA77" s="2" t="s">
        <v>717</v>
      </c>
      <c r="BB77" s="2" t="s">
        <v>175</v>
      </c>
      <c r="BC77" s="2"/>
      <c r="BD77" s="2"/>
      <c r="BE77" s="2"/>
      <c r="BF77" s="2" t="s">
        <v>176</v>
      </c>
      <c r="BG77" s="2" t="s">
        <v>719</v>
      </c>
      <c r="BH77" s="2" t="s">
        <v>720</v>
      </c>
      <c r="BI77" s="2">
        <v>115</v>
      </c>
      <c r="BJ77" s="2"/>
      <c r="BK77" s="2"/>
      <c r="BL77" s="2"/>
      <c r="BM77" s="2"/>
      <c r="BN77" s="2"/>
      <c r="BO77" s="2"/>
      <c r="BP77" s="2" t="s">
        <v>179</v>
      </c>
      <c r="BQ77" s="2" t="s">
        <v>180</v>
      </c>
      <c r="BR77" s="2" t="s">
        <v>181</v>
      </c>
      <c r="BS77" s="2"/>
      <c r="BT77" s="2" t="s">
        <v>721</v>
      </c>
      <c r="BU77" s="2" t="s">
        <v>722</v>
      </c>
      <c r="BV77" s="2" t="s">
        <v>152</v>
      </c>
      <c r="BW77" s="2" t="s">
        <v>716</v>
      </c>
      <c r="BX77" s="2">
        <v>1628412019650</v>
      </c>
      <c r="BY77" s="2">
        <v>76</v>
      </c>
      <c r="BZ77" s="2">
        <v>242.77948617209961</v>
      </c>
      <c r="CA77" s="2">
        <v>1628411320296</v>
      </c>
      <c r="CB77" s="2"/>
      <c r="CC77" s="2"/>
      <c r="CD77" s="2"/>
      <c r="CE77" s="2"/>
      <c r="CF77" s="2">
        <v>37.337744999545727</v>
      </c>
      <c r="CG77" s="2">
        <v>-95.510501875514194</v>
      </c>
      <c r="CH77" s="2" t="s">
        <v>717</v>
      </c>
      <c r="CI77" s="2"/>
      <c r="CJ77" s="2">
        <v>1628411320296</v>
      </c>
      <c r="CK77" s="2" t="s">
        <v>184</v>
      </c>
      <c r="CL77" s="2" t="s">
        <v>185</v>
      </c>
    </row>
    <row r="78" spans="1:90" x14ac:dyDescent="0.25">
      <c r="A78" s="2" t="s">
        <v>171</v>
      </c>
      <c r="B78" s="2"/>
      <c r="C78" s="2" t="s">
        <v>150</v>
      </c>
      <c r="D78" s="2"/>
      <c r="E78" s="2"/>
      <c r="F78" s="2"/>
      <c r="G78" s="2"/>
      <c r="H78" s="2">
        <v>2378.973</v>
      </c>
      <c r="I78" s="2">
        <v>5468</v>
      </c>
      <c r="J78" s="2">
        <v>0</v>
      </c>
      <c r="K78" s="2">
        <v>5468</v>
      </c>
      <c r="L78" s="2"/>
      <c r="M78" s="2">
        <v>677258</v>
      </c>
      <c r="N78" s="2"/>
      <c r="O78" s="2"/>
      <c r="P78" s="2">
        <v>242.90379180037081</v>
      </c>
      <c r="Q78" s="2">
        <v>1628411344821</v>
      </c>
      <c r="R78" s="2">
        <v>8.2264690714642867</v>
      </c>
      <c r="S78" s="2"/>
      <c r="T78" s="2" t="s">
        <v>723</v>
      </c>
      <c r="U78" s="2"/>
      <c r="V78" s="2">
        <v>37.337784975899019</v>
      </c>
      <c r="W78" s="2">
        <v>-95.510423591244475</v>
      </c>
      <c r="X78" s="2" t="s">
        <v>724</v>
      </c>
      <c r="Y78" s="2"/>
      <c r="Z78" s="2">
        <v>1628411322821</v>
      </c>
      <c r="AA78" s="2">
        <v>229.08</v>
      </c>
      <c r="AB78" s="2">
        <v>1628412064879</v>
      </c>
      <c r="AC78" s="2">
        <v>19.490436119372024</v>
      </c>
      <c r="AD78" s="2"/>
      <c r="AE78" s="2" t="s">
        <v>723</v>
      </c>
      <c r="AF78" s="2"/>
      <c r="AG78" s="2">
        <v>37.352451629999997</v>
      </c>
      <c r="AH78" s="2">
        <v>-95.530015809999995</v>
      </c>
      <c r="AI78" s="2" t="s">
        <v>724</v>
      </c>
      <c r="AJ78" s="2"/>
      <c r="AK78" s="2">
        <v>1628412000079</v>
      </c>
      <c r="AL78" s="2">
        <v>1</v>
      </c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 t="s">
        <v>725</v>
      </c>
      <c r="BA78" s="2" t="s">
        <v>724</v>
      </c>
      <c r="BB78" s="2" t="s">
        <v>175</v>
      </c>
      <c r="BC78" s="2"/>
      <c r="BD78" s="2"/>
      <c r="BE78" s="2"/>
      <c r="BF78" s="2" t="s">
        <v>176</v>
      </c>
      <c r="BG78" s="2" t="s">
        <v>726</v>
      </c>
      <c r="BH78" s="2" t="s">
        <v>727</v>
      </c>
      <c r="BI78" s="2">
        <v>116</v>
      </c>
      <c r="BJ78" s="2"/>
      <c r="BK78" s="2"/>
      <c r="BL78" s="2"/>
      <c r="BM78" s="2"/>
      <c r="BN78" s="2"/>
      <c r="BO78" s="2"/>
      <c r="BP78" s="2" t="s">
        <v>179</v>
      </c>
      <c r="BQ78" s="2" t="s">
        <v>180</v>
      </c>
      <c r="BR78" s="2" t="s">
        <v>181</v>
      </c>
      <c r="BS78" s="2"/>
      <c r="BT78" s="2" t="s">
        <v>728</v>
      </c>
      <c r="BU78" s="2" t="s">
        <v>729</v>
      </c>
      <c r="BV78" s="2" t="s">
        <v>152</v>
      </c>
      <c r="BW78" s="2" t="s">
        <v>723</v>
      </c>
      <c r="BX78" s="2">
        <v>1628412006911</v>
      </c>
      <c r="BY78" s="2">
        <v>77</v>
      </c>
      <c r="BZ78" s="2">
        <v>242.77948617209961</v>
      </c>
      <c r="CA78" s="2">
        <v>1628411322821</v>
      </c>
      <c r="CB78" s="2"/>
      <c r="CC78" s="2"/>
      <c r="CD78" s="2"/>
      <c r="CE78" s="2"/>
      <c r="CF78" s="2">
        <v>37.337744999545727</v>
      </c>
      <c r="CG78" s="2">
        <v>-95.510501875514194</v>
      </c>
      <c r="CH78" s="2" t="s">
        <v>724</v>
      </c>
      <c r="CI78" s="2"/>
      <c r="CJ78" s="2">
        <v>1628411322821</v>
      </c>
      <c r="CK78" s="2" t="s">
        <v>184</v>
      </c>
      <c r="CL78" s="2" t="s">
        <v>185</v>
      </c>
    </row>
    <row r="79" spans="1:90" x14ac:dyDescent="0.25">
      <c r="A79" s="2" t="s">
        <v>171</v>
      </c>
      <c r="B79" s="2"/>
      <c r="C79" s="2" t="s">
        <v>150</v>
      </c>
      <c r="D79" s="2"/>
      <c r="E79" s="2"/>
      <c r="F79" s="2"/>
      <c r="G79" s="2"/>
      <c r="H79" s="2">
        <v>2376.9949999999999</v>
      </c>
      <c r="I79" s="2">
        <v>5486</v>
      </c>
      <c r="J79" s="2">
        <v>0</v>
      </c>
      <c r="K79" s="2">
        <v>5486</v>
      </c>
      <c r="L79" s="2"/>
      <c r="M79" s="2">
        <v>699120</v>
      </c>
      <c r="N79" s="2"/>
      <c r="O79" s="2"/>
      <c r="P79" s="2">
        <v>242.77948617209961</v>
      </c>
      <c r="Q79" s="2">
        <v>1628411345800</v>
      </c>
      <c r="R79" s="2">
        <v>17.979967860278595</v>
      </c>
      <c r="S79" s="2"/>
      <c r="T79" s="2" t="s">
        <v>730</v>
      </c>
      <c r="U79" s="2"/>
      <c r="V79" s="2">
        <v>37.337744999545727</v>
      </c>
      <c r="W79" s="2">
        <v>-95.510501875514194</v>
      </c>
      <c r="X79" s="2" t="s">
        <v>731</v>
      </c>
      <c r="Y79" s="2"/>
      <c r="Z79" s="2">
        <v>1628411345800</v>
      </c>
      <c r="AA79" s="2">
        <v>229.08</v>
      </c>
      <c r="AB79" s="2">
        <v>1628412087852</v>
      </c>
      <c r="AC79" s="2">
        <v>19.490436119372024</v>
      </c>
      <c r="AD79" s="2"/>
      <c r="AE79" s="2" t="s">
        <v>730</v>
      </c>
      <c r="AF79" s="2"/>
      <c r="AG79" s="2">
        <v>37.352451629999997</v>
      </c>
      <c r="AH79" s="2">
        <v>-95.530015809999995</v>
      </c>
      <c r="AI79" s="2" t="s">
        <v>731</v>
      </c>
      <c r="AJ79" s="2"/>
      <c r="AK79" s="2">
        <v>1628412044920</v>
      </c>
      <c r="AL79" s="2">
        <v>1</v>
      </c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 t="s">
        <v>732</v>
      </c>
      <c r="BA79" s="2" t="s">
        <v>731</v>
      </c>
      <c r="BB79" s="2" t="s">
        <v>175</v>
      </c>
      <c r="BC79" s="2"/>
      <c r="BD79" s="2"/>
      <c r="BE79" s="2"/>
      <c r="BF79" s="2" t="s">
        <v>176</v>
      </c>
      <c r="BG79" s="2" t="s">
        <v>733</v>
      </c>
      <c r="BH79" s="2" t="s">
        <v>734</v>
      </c>
      <c r="BI79" s="2">
        <v>117</v>
      </c>
      <c r="BJ79" s="2"/>
      <c r="BK79" s="2"/>
      <c r="BL79" s="2"/>
      <c r="BM79" s="2"/>
      <c r="BN79" s="2"/>
      <c r="BO79" s="2"/>
      <c r="BP79" s="2" t="s">
        <v>179</v>
      </c>
      <c r="BQ79" s="2" t="s">
        <v>180</v>
      </c>
      <c r="BR79" s="2" t="s">
        <v>181</v>
      </c>
      <c r="BS79" s="2"/>
      <c r="BT79" s="2" t="s">
        <v>735</v>
      </c>
      <c r="BU79" s="2" t="s">
        <v>736</v>
      </c>
      <c r="BV79" s="2" t="s">
        <v>152</v>
      </c>
      <c r="BW79" s="2" t="s">
        <v>730</v>
      </c>
      <c r="BX79" s="2">
        <v>1628412051594</v>
      </c>
      <c r="BY79" s="2">
        <v>78</v>
      </c>
      <c r="BZ79" s="2">
        <v>242.50987153952423</v>
      </c>
      <c r="CA79" s="2">
        <v>1628411339800</v>
      </c>
      <c r="CB79" s="2"/>
      <c r="CC79" s="2"/>
      <c r="CD79" s="2"/>
      <c r="CE79" s="2"/>
      <c r="CF79" s="2">
        <v>37.33773321738628</v>
      </c>
      <c r="CG79" s="2">
        <v>-95.510704686381203</v>
      </c>
      <c r="CH79" s="2" t="s">
        <v>731</v>
      </c>
      <c r="CI79" s="2"/>
      <c r="CJ79" s="2">
        <v>1628411345800</v>
      </c>
      <c r="CK79" s="2" t="s">
        <v>184</v>
      </c>
      <c r="CL79" s="2" t="s">
        <v>185</v>
      </c>
    </row>
    <row r="80" spans="1:90" x14ac:dyDescent="0.25">
      <c r="A80" s="2" t="s">
        <v>171</v>
      </c>
      <c r="B80" s="2"/>
      <c r="C80" s="2" t="s">
        <v>150</v>
      </c>
      <c r="D80" s="2"/>
      <c r="E80" s="2"/>
      <c r="F80" s="2"/>
      <c r="G80" s="2"/>
      <c r="H80" s="2">
        <v>2364.835</v>
      </c>
      <c r="I80" s="2">
        <v>5449</v>
      </c>
      <c r="J80" s="2">
        <v>0</v>
      </c>
      <c r="K80" s="2">
        <v>5449</v>
      </c>
      <c r="L80" s="2"/>
      <c r="M80" s="2">
        <v>719144</v>
      </c>
      <c r="N80" s="2"/>
      <c r="O80" s="2"/>
      <c r="P80" s="2">
        <v>242.90379180037081</v>
      </c>
      <c r="Q80" s="2">
        <v>1628411376801</v>
      </c>
      <c r="R80" s="2">
        <v>8.2264690714642867</v>
      </c>
      <c r="S80" s="2"/>
      <c r="T80" s="2" t="s">
        <v>737</v>
      </c>
      <c r="U80" s="2"/>
      <c r="V80" s="2">
        <v>37.337784975899019</v>
      </c>
      <c r="W80" s="2">
        <v>-95.510423591244475</v>
      </c>
      <c r="X80" s="2" t="s">
        <v>738</v>
      </c>
      <c r="Y80" s="2"/>
      <c r="Z80" s="2">
        <v>1628411354801</v>
      </c>
      <c r="AA80" s="2">
        <v>232.04981030064999</v>
      </c>
      <c r="AB80" s="2">
        <v>1628412062850</v>
      </c>
      <c r="AC80" s="2">
        <v>16.814136354419173</v>
      </c>
      <c r="AD80" s="2"/>
      <c r="AE80" s="2" t="s">
        <v>737</v>
      </c>
      <c r="AF80" s="2"/>
      <c r="AG80" s="2">
        <v>37.352449871446879</v>
      </c>
      <c r="AH80" s="2">
        <v>-95.529797893254525</v>
      </c>
      <c r="AI80" s="2" t="s">
        <v>738</v>
      </c>
      <c r="AJ80" s="2"/>
      <c r="AK80" s="2">
        <v>1628412073945</v>
      </c>
      <c r="AL80" s="2">
        <v>1</v>
      </c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 t="s">
        <v>739</v>
      </c>
      <c r="BA80" s="2" t="s">
        <v>738</v>
      </c>
      <c r="BB80" s="2" t="s">
        <v>175</v>
      </c>
      <c r="BC80" s="2"/>
      <c r="BD80" s="2"/>
      <c r="BE80" s="2"/>
      <c r="BF80" s="2" t="s">
        <v>176</v>
      </c>
      <c r="BG80" s="2" t="s">
        <v>740</v>
      </c>
      <c r="BH80" s="2" t="s">
        <v>741</v>
      </c>
      <c r="BI80" s="2">
        <v>115</v>
      </c>
      <c r="BJ80" s="2"/>
      <c r="BK80" s="2"/>
      <c r="BL80" s="2"/>
      <c r="BM80" s="2"/>
      <c r="BN80" s="2"/>
      <c r="BO80" s="2"/>
      <c r="BP80" s="2" t="s">
        <v>179</v>
      </c>
      <c r="BQ80" s="2" t="s">
        <v>180</v>
      </c>
      <c r="BR80" s="2" t="s">
        <v>181</v>
      </c>
      <c r="BS80" s="2"/>
      <c r="BT80" s="2" t="s">
        <v>742</v>
      </c>
      <c r="BU80" s="2" t="s">
        <v>743</v>
      </c>
      <c r="BV80" s="2" t="s">
        <v>152</v>
      </c>
      <c r="BW80" s="2" t="s">
        <v>737</v>
      </c>
      <c r="BX80" s="2">
        <v>1628412077246</v>
      </c>
      <c r="BY80" s="2">
        <v>79</v>
      </c>
      <c r="BZ80" s="2">
        <v>242.77948617209961</v>
      </c>
      <c r="CA80" s="2">
        <v>1628411354801</v>
      </c>
      <c r="CB80" s="2"/>
      <c r="CC80" s="2"/>
      <c r="CD80" s="2"/>
      <c r="CE80" s="2"/>
      <c r="CF80" s="2">
        <v>37.337744999545727</v>
      </c>
      <c r="CG80" s="2">
        <v>-95.510501875514194</v>
      </c>
      <c r="CH80" s="2" t="s">
        <v>738</v>
      </c>
      <c r="CI80" s="2"/>
      <c r="CJ80" s="2">
        <v>1628411354801</v>
      </c>
      <c r="CK80" s="2" t="s">
        <v>184</v>
      </c>
      <c r="CL80" s="2" t="s">
        <v>185</v>
      </c>
    </row>
    <row r="81" spans="1:90" x14ac:dyDescent="0.25">
      <c r="A81" s="2" t="s">
        <v>171</v>
      </c>
      <c r="B81" s="2"/>
      <c r="C81" s="2" t="s">
        <v>150</v>
      </c>
      <c r="D81" s="2"/>
      <c r="E81" s="2"/>
      <c r="F81" s="2"/>
      <c r="G81" s="2"/>
      <c r="H81" s="2">
        <v>2378.973</v>
      </c>
      <c r="I81" s="2">
        <v>5468</v>
      </c>
      <c r="J81" s="2">
        <v>0</v>
      </c>
      <c r="K81" s="2">
        <v>5468</v>
      </c>
      <c r="L81" s="2"/>
      <c r="M81" s="2">
        <v>720614</v>
      </c>
      <c r="N81" s="2"/>
      <c r="O81" s="2"/>
      <c r="P81" s="2">
        <v>242.90379180037081</v>
      </c>
      <c r="Q81" s="2">
        <v>1628411408358</v>
      </c>
      <c r="R81" s="2">
        <v>8.2264690714642867</v>
      </c>
      <c r="S81" s="2"/>
      <c r="T81" s="2" t="s">
        <v>744</v>
      </c>
      <c r="U81" s="2"/>
      <c r="V81" s="2">
        <v>37.337784975899019</v>
      </c>
      <c r="W81" s="2">
        <v>-95.510423591244475</v>
      </c>
      <c r="X81" s="2" t="s">
        <v>745</v>
      </c>
      <c r="Y81" s="2"/>
      <c r="Z81" s="2">
        <v>1628411386358</v>
      </c>
      <c r="AA81" s="2">
        <v>229.08</v>
      </c>
      <c r="AB81" s="2">
        <v>1628412128411</v>
      </c>
      <c r="AC81" s="2">
        <v>19.490436119372024</v>
      </c>
      <c r="AD81" s="2"/>
      <c r="AE81" s="2" t="s">
        <v>744</v>
      </c>
      <c r="AF81" s="2"/>
      <c r="AG81" s="2">
        <v>37.352451629999997</v>
      </c>
      <c r="AH81" s="2">
        <v>-95.530015809999995</v>
      </c>
      <c r="AI81" s="2" t="s">
        <v>745</v>
      </c>
      <c r="AJ81" s="2"/>
      <c r="AK81" s="2">
        <v>1628412106972</v>
      </c>
      <c r="AL81" s="2">
        <v>1</v>
      </c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 t="s">
        <v>746</v>
      </c>
      <c r="BA81" s="2" t="s">
        <v>745</v>
      </c>
      <c r="BB81" s="2" t="s">
        <v>175</v>
      </c>
      <c r="BC81" s="2"/>
      <c r="BD81" s="2"/>
      <c r="BE81" s="2"/>
      <c r="BF81" s="2" t="s">
        <v>176</v>
      </c>
      <c r="BG81" s="2" t="s">
        <v>747</v>
      </c>
      <c r="BH81" s="2" t="s">
        <v>748</v>
      </c>
      <c r="BI81" s="2">
        <v>116</v>
      </c>
      <c r="BJ81" s="2"/>
      <c r="BK81" s="2"/>
      <c r="BL81" s="2"/>
      <c r="BM81" s="2"/>
      <c r="BN81" s="2"/>
      <c r="BO81" s="2"/>
      <c r="BP81" s="2" t="s">
        <v>179</v>
      </c>
      <c r="BQ81" s="2" t="s">
        <v>180</v>
      </c>
      <c r="BR81" s="2" t="s">
        <v>181</v>
      </c>
      <c r="BS81" s="2"/>
      <c r="BT81" s="2" t="s">
        <v>749</v>
      </c>
      <c r="BU81" s="2" t="s">
        <v>750</v>
      </c>
      <c r="BV81" s="2" t="s">
        <v>152</v>
      </c>
      <c r="BW81" s="2" t="s">
        <v>744</v>
      </c>
      <c r="BX81" s="2">
        <v>1628412109305</v>
      </c>
      <c r="BY81" s="2">
        <v>80</v>
      </c>
      <c r="BZ81" s="2">
        <v>242.77948617209961</v>
      </c>
      <c r="CA81" s="2">
        <v>1628411386358</v>
      </c>
      <c r="CB81" s="2"/>
      <c r="CC81" s="2"/>
      <c r="CD81" s="2"/>
      <c r="CE81" s="2"/>
      <c r="CF81" s="2">
        <v>37.337744999545727</v>
      </c>
      <c r="CG81" s="2">
        <v>-95.510501875514194</v>
      </c>
      <c r="CH81" s="2" t="s">
        <v>745</v>
      </c>
      <c r="CI81" s="2"/>
      <c r="CJ81" s="2">
        <v>1628411386358</v>
      </c>
      <c r="CK81" s="2" t="s">
        <v>184</v>
      </c>
      <c r="CL81" s="2" t="s">
        <v>185</v>
      </c>
    </row>
    <row r="82" spans="1:90" x14ac:dyDescent="0.25">
      <c r="A82" s="2" t="s">
        <v>171</v>
      </c>
      <c r="B82" s="2"/>
      <c r="C82" s="2" t="s">
        <v>150</v>
      </c>
      <c r="D82" s="2"/>
      <c r="E82" s="2"/>
      <c r="F82" s="2"/>
      <c r="G82" s="2"/>
      <c r="H82" s="2">
        <v>2378.973</v>
      </c>
      <c r="I82" s="2">
        <v>5468</v>
      </c>
      <c r="J82" s="2">
        <v>0</v>
      </c>
      <c r="K82" s="2">
        <v>5468</v>
      </c>
      <c r="L82" s="2"/>
      <c r="M82" s="2">
        <v>740883</v>
      </c>
      <c r="N82" s="2"/>
      <c r="O82" s="2"/>
      <c r="P82" s="2">
        <v>242.90379180037081</v>
      </c>
      <c r="Q82" s="2">
        <v>1628411413315</v>
      </c>
      <c r="R82" s="2">
        <v>8.2264690714642867</v>
      </c>
      <c r="S82" s="2"/>
      <c r="T82" s="2" t="s">
        <v>751</v>
      </c>
      <c r="U82" s="2"/>
      <c r="V82" s="2">
        <v>37.337784975899019</v>
      </c>
      <c r="W82" s="2">
        <v>-95.510423591244475</v>
      </c>
      <c r="X82" s="2" t="s">
        <v>752</v>
      </c>
      <c r="Y82" s="2"/>
      <c r="Z82" s="2">
        <v>1628411391315</v>
      </c>
      <c r="AA82" s="2">
        <v>229.08</v>
      </c>
      <c r="AB82" s="2">
        <v>1628412133366</v>
      </c>
      <c r="AC82" s="2">
        <v>19.490436119372024</v>
      </c>
      <c r="AD82" s="2"/>
      <c r="AE82" s="2" t="s">
        <v>751</v>
      </c>
      <c r="AF82" s="2"/>
      <c r="AG82" s="2">
        <v>37.352451629999997</v>
      </c>
      <c r="AH82" s="2">
        <v>-95.530015809999995</v>
      </c>
      <c r="AI82" s="2" t="s">
        <v>752</v>
      </c>
      <c r="AJ82" s="2"/>
      <c r="AK82" s="2">
        <v>1628412132198</v>
      </c>
      <c r="AL82" s="2">
        <v>1</v>
      </c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 t="s">
        <v>753</v>
      </c>
      <c r="BA82" s="2" t="s">
        <v>752</v>
      </c>
      <c r="BB82" s="2" t="s">
        <v>175</v>
      </c>
      <c r="BC82" s="2"/>
      <c r="BD82" s="2"/>
      <c r="BE82" s="2"/>
      <c r="BF82" s="2" t="s">
        <v>176</v>
      </c>
      <c r="BG82" s="2" t="s">
        <v>754</v>
      </c>
      <c r="BH82" s="2" t="s">
        <v>755</v>
      </c>
      <c r="BI82" s="2">
        <v>116</v>
      </c>
      <c r="BJ82" s="2"/>
      <c r="BK82" s="2"/>
      <c r="BL82" s="2"/>
      <c r="BM82" s="2"/>
      <c r="BN82" s="2"/>
      <c r="BO82" s="2"/>
      <c r="BP82" s="2" t="s">
        <v>179</v>
      </c>
      <c r="BQ82" s="2" t="s">
        <v>180</v>
      </c>
      <c r="BR82" s="2" t="s">
        <v>181</v>
      </c>
      <c r="BS82" s="2"/>
      <c r="BT82" s="2" t="s">
        <v>756</v>
      </c>
      <c r="BU82" s="2" t="s">
        <v>757</v>
      </c>
      <c r="BV82" s="2" t="s">
        <v>152</v>
      </c>
      <c r="BW82" s="2" t="s">
        <v>751</v>
      </c>
      <c r="BX82" s="2">
        <v>1628412134963</v>
      </c>
      <c r="BY82" s="2">
        <v>81</v>
      </c>
      <c r="BZ82" s="2">
        <v>242.77948617209961</v>
      </c>
      <c r="CA82" s="2">
        <v>1628411391315</v>
      </c>
      <c r="CB82" s="2"/>
      <c r="CC82" s="2"/>
      <c r="CD82" s="2"/>
      <c r="CE82" s="2"/>
      <c r="CF82" s="2">
        <v>37.337744999545727</v>
      </c>
      <c r="CG82" s="2">
        <v>-95.510501875514194</v>
      </c>
      <c r="CH82" s="2" t="s">
        <v>752</v>
      </c>
      <c r="CI82" s="2"/>
      <c r="CJ82" s="2">
        <v>1628411391315</v>
      </c>
      <c r="CK82" s="2" t="s">
        <v>184</v>
      </c>
      <c r="CL82" s="2" t="s">
        <v>185</v>
      </c>
    </row>
    <row r="83" spans="1:90" x14ac:dyDescent="0.25">
      <c r="A83" s="2" t="s">
        <v>171</v>
      </c>
      <c r="B83" s="2"/>
      <c r="C83" s="2" t="s">
        <v>150</v>
      </c>
      <c r="D83" s="2"/>
      <c r="E83" s="2"/>
      <c r="F83" s="2"/>
      <c r="G83" s="2"/>
      <c r="H83" s="2">
        <v>2376.9949999999999</v>
      </c>
      <c r="I83" s="2">
        <v>5486</v>
      </c>
      <c r="J83" s="2">
        <v>0</v>
      </c>
      <c r="K83" s="2">
        <v>5486</v>
      </c>
      <c r="L83" s="2"/>
      <c r="M83" s="2">
        <v>662772</v>
      </c>
      <c r="N83" s="2"/>
      <c r="O83" s="2"/>
      <c r="P83" s="2">
        <v>242.77948617209961</v>
      </c>
      <c r="Q83" s="2">
        <v>1628411400800</v>
      </c>
      <c r="R83" s="2">
        <v>17.979967860278595</v>
      </c>
      <c r="S83" s="2"/>
      <c r="T83" s="2" t="s">
        <v>758</v>
      </c>
      <c r="U83" s="2"/>
      <c r="V83" s="2">
        <v>37.337744999545727</v>
      </c>
      <c r="W83" s="2">
        <v>-95.510501875514194</v>
      </c>
      <c r="X83" s="2" t="s">
        <v>759</v>
      </c>
      <c r="Y83" s="2"/>
      <c r="Z83" s="2">
        <v>1628411400800</v>
      </c>
      <c r="AA83" s="2">
        <v>229.08</v>
      </c>
      <c r="AB83" s="2">
        <v>1628412142851</v>
      </c>
      <c r="AC83" s="2">
        <v>19.490436119372024</v>
      </c>
      <c r="AD83" s="2"/>
      <c r="AE83" s="2" t="s">
        <v>758</v>
      </c>
      <c r="AF83" s="2"/>
      <c r="AG83" s="2">
        <v>37.352451629999997</v>
      </c>
      <c r="AH83" s="2">
        <v>-95.530015809999995</v>
      </c>
      <c r="AI83" s="2" t="s">
        <v>759</v>
      </c>
      <c r="AJ83" s="2"/>
      <c r="AK83" s="2">
        <v>1628412063572</v>
      </c>
      <c r="AL83" s="2">
        <v>1</v>
      </c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 t="s">
        <v>760</v>
      </c>
      <c r="BA83" s="2" t="s">
        <v>759</v>
      </c>
      <c r="BB83" s="2" t="s">
        <v>175</v>
      </c>
      <c r="BC83" s="2"/>
      <c r="BD83" s="2"/>
      <c r="BE83" s="2"/>
      <c r="BF83" s="2" t="s">
        <v>176</v>
      </c>
      <c r="BG83" s="2" t="s">
        <v>761</v>
      </c>
      <c r="BH83" s="2" t="s">
        <v>762</v>
      </c>
      <c r="BI83" s="2">
        <v>117</v>
      </c>
      <c r="BJ83" s="2"/>
      <c r="BK83" s="2"/>
      <c r="BL83" s="2"/>
      <c r="BM83" s="2"/>
      <c r="BN83" s="2"/>
      <c r="BO83" s="2"/>
      <c r="BP83" s="2" t="s">
        <v>179</v>
      </c>
      <c r="BQ83" s="2" t="s">
        <v>180</v>
      </c>
      <c r="BR83" s="2" t="s">
        <v>181</v>
      </c>
      <c r="BS83" s="2"/>
      <c r="BT83" s="2" t="s">
        <v>763</v>
      </c>
      <c r="BU83" s="2" t="s">
        <v>764</v>
      </c>
      <c r="BV83" s="2" t="s">
        <v>152</v>
      </c>
      <c r="BW83" s="2" t="s">
        <v>758</v>
      </c>
      <c r="BX83" s="2">
        <v>1628412070829</v>
      </c>
      <c r="BY83" s="2">
        <v>82</v>
      </c>
      <c r="BZ83" s="2">
        <v>242.50987153952423</v>
      </c>
      <c r="CA83" s="2">
        <v>1628411394799</v>
      </c>
      <c r="CB83" s="2"/>
      <c r="CC83" s="2"/>
      <c r="CD83" s="2"/>
      <c r="CE83" s="2"/>
      <c r="CF83" s="2">
        <v>37.33773321738628</v>
      </c>
      <c r="CG83" s="2">
        <v>-95.510704686381203</v>
      </c>
      <c r="CH83" s="2" t="s">
        <v>759</v>
      </c>
      <c r="CI83" s="2"/>
      <c r="CJ83" s="2">
        <v>1628411400800</v>
      </c>
      <c r="CK83" s="2" t="s">
        <v>184</v>
      </c>
      <c r="CL83" s="2" t="s">
        <v>185</v>
      </c>
    </row>
    <row r="84" spans="1:90" x14ac:dyDescent="0.25">
      <c r="A84" s="2" t="s">
        <v>171</v>
      </c>
      <c r="B84" s="2"/>
      <c r="C84" s="2" t="s">
        <v>150</v>
      </c>
      <c r="D84" s="2"/>
      <c r="E84" s="2"/>
      <c r="F84" s="2"/>
      <c r="G84" s="2"/>
      <c r="H84" s="2">
        <v>2378.973</v>
      </c>
      <c r="I84" s="2">
        <v>5468</v>
      </c>
      <c r="J84" s="2">
        <v>0</v>
      </c>
      <c r="K84" s="2">
        <v>5468</v>
      </c>
      <c r="L84" s="2"/>
      <c r="M84" s="2">
        <v>622121</v>
      </c>
      <c r="N84" s="2"/>
      <c r="O84" s="2"/>
      <c r="P84" s="2">
        <v>242.90379180037081</v>
      </c>
      <c r="Q84" s="2">
        <v>1628411447805</v>
      </c>
      <c r="R84" s="2">
        <v>8.2264690714642867</v>
      </c>
      <c r="S84" s="2"/>
      <c r="T84" s="2" t="s">
        <v>765</v>
      </c>
      <c r="U84" s="2"/>
      <c r="V84" s="2">
        <v>37.337784975899019</v>
      </c>
      <c r="W84" s="2">
        <v>-95.510423591244475</v>
      </c>
      <c r="X84" s="2" t="s">
        <v>766</v>
      </c>
      <c r="Y84" s="2"/>
      <c r="Z84" s="2">
        <v>1628411425805</v>
      </c>
      <c r="AA84" s="2">
        <v>229.08</v>
      </c>
      <c r="AB84" s="2">
        <v>1628412167857</v>
      </c>
      <c r="AC84" s="2">
        <v>19.490436119372024</v>
      </c>
      <c r="AD84" s="2"/>
      <c r="AE84" s="2" t="s">
        <v>765</v>
      </c>
      <c r="AF84" s="2"/>
      <c r="AG84" s="2">
        <v>37.352451629999997</v>
      </c>
      <c r="AH84" s="2">
        <v>-95.530015809999995</v>
      </c>
      <c r="AI84" s="2" t="s">
        <v>766</v>
      </c>
      <c r="AJ84" s="2"/>
      <c r="AK84" s="2">
        <v>1628412047926</v>
      </c>
      <c r="AL84" s="2">
        <v>1</v>
      </c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 t="s">
        <v>767</v>
      </c>
      <c r="BA84" s="2" t="s">
        <v>766</v>
      </c>
      <c r="BB84" s="2" t="s">
        <v>175</v>
      </c>
      <c r="BC84" s="2"/>
      <c r="BD84" s="2"/>
      <c r="BE84" s="2"/>
      <c r="BF84" s="2" t="s">
        <v>176</v>
      </c>
      <c r="BG84" s="2" t="s">
        <v>768</v>
      </c>
      <c r="BH84" s="2" t="s">
        <v>769</v>
      </c>
      <c r="BI84" s="2">
        <v>116</v>
      </c>
      <c r="BJ84" s="2"/>
      <c r="BK84" s="2"/>
      <c r="BL84" s="2"/>
      <c r="BM84" s="2"/>
      <c r="BN84" s="2"/>
      <c r="BO84" s="2"/>
      <c r="BP84" s="2" t="s">
        <v>179</v>
      </c>
      <c r="BQ84" s="2" t="s">
        <v>180</v>
      </c>
      <c r="BR84" s="2" t="s">
        <v>181</v>
      </c>
      <c r="BS84" s="2"/>
      <c r="BT84" s="2" t="s">
        <v>770</v>
      </c>
      <c r="BU84" s="2" t="s">
        <v>771</v>
      </c>
      <c r="BV84" s="2" t="s">
        <v>152</v>
      </c>
      <c r="BW84" s="2" t="s">
        <v>765</v>
      </c>
      <c r="BX84" s="2">
        <v>1628412051601</v>
      </c>
      <c r="BY84" s="2">
        <v>83</v>
      </c>
      <c r="BZ84" s="2">
        <v>242.77948617209961</v>
      </c>
      <c r="CA84" s="2">
        <v>1628411425805</v>
      </c>
      <c r="CB84" s="2"/>
      <c r="CC84" s="2"/>
      <c r="CD84" s="2"/>
      <c r="CE84" s="2"/>
      <c r="CF84" s="2">
        <v>37.337744999545727</v>
      </c>
      <c r="CG84" s="2">
        <v>-95.510501875514194</v>
      </c>
      <c r="CH84" s="2" t="s">
        <v>766</v>
      </c>
      <c r="CI84" s="2"/>
      <c r="CJ84" s="2">
        <v>1628411425805</v>
      </c>
      <c r="CK84" s="2" t="s">
        <v>184</v>
      </c>
      <c r="CL84" s="2" t="s">
        <v>185</v>
      </c>
    </row>
    <row r="85" spans="1:90" x14ac:dyDescent="0.25">
      <c r="A85" s="2" t="s">
        <v>171</v>
      </c>
      <c r="B85" s="2"/>
      <c r="C85" s="2" t="s">
        <v>150</v>
      </c>
      <c r="D85" s="2"/>
      <c r="E85" s="2"/>
      <c r="F85" s="2"/>
      <c r="G85" s="2"/>
      <c r="H85" s="2">
        <v>2362.902</v>
      </c>
      <c r="I85" s="2">
        <v>5467</v>
      </c>
      <c r="J85" s="2">
        <v>0</v>
      </c>
      <c r="K85" s="2">
        <v>5467</v>
      </c>
      <c r="L85" s="2"/>
      <c r="M85" s="2">
        <v>643501</v>
      </c>
      <c r="N85" s="2"/>
      <c r="O85" s="2"/>
      <c r="P85" s="2">
        <v>242.77948617209961</v>
      </c>
      <c r="Q85" s="2">
        <v>1628411427306</v>
      </c>
      <c r="R85" s="2">
        <v>17.979967860278595</v>
      </c>
      <c r="S85" s="2"/>
      <c r="T85" s="2" t="s">
        <v>772</v>
      </c>
      <c r="U85" s="2"/>
      <c r="V85" s="2">
        <v>37.337744999545727</v>
      </c>
      <c r="W85" s="2">
        <v>-95.510501875514194</v>
      </c>
      <c r="X85" s="2" t="s">
        <v>773</v>
      </c>
      <c r="Y85" s="2"/>
      <c r="Z85" s="2">
        <v>1628411427306</v>
      </c>
      <c r="AA85" s="2">
        <v>232.04981030064999</v>
      </c>
      <c r="AB85" s="2">
        <v>1628412135357</v>
      </c>
      <c r="AC85" s="2">
        <v>16.814136354419173</v>
      </c>
      <c r="AD85" s="2"/>
      <c r="AE85" s="2" t="s">
        <v>772</v>
      </c>
      <c r="AF85" s="2"/>
      <c r="AG85" s="2">
        <v>37.352449871446879</v>
      </c>
      <c r="AH85" s="2">
        <v>-95.529797893254525</v>
      </c>
      <c r="AI85" s="2" t="s">
        <v>773</v>
      </c>
      <c r="AJ85" s="2"/>
      <c r="AK85" s="2">
        <v>1628412070807</v>
      </c>
      <c r="AL85" s="2">
        <v>1</v>
      </c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 t="s">
        <v>774</v>
      </c>
      <c r="BA85" s="2" t="s">
        <v>773</v>
      </c>
      <c r="BB85" s="2" t="s">
        <v>175</v>
      </c>
      <c r="BC85" s="2"/>
      <c r="BD85" s="2"/>
      <c r="BE85" s="2"/>
      <c r="BF85" s="2" t="s">
        <v>176</v>
      </c>
      <c r="BG85" s="2" t="s">
        <v>775</v>
      </c>
      <c r="BH85" s="2" t="s">
        <v>776</v>
      </c>
      <c r="BI85" s="2">
        <v>116</v>
      </c>
      <c r="BJ85" s="2"/>
      <c r="BK85" s="2"/>
      <c r="BL85" s="2"/>
      <c r="BM85" s="2"/>
      <c r="BN85" s="2"/>
      <c r="BO85" s="2"/>
      <c r="BP85" s="2" t="s">
        <v>179</v>
      </c>
      <c r="BQ85" s="2" t="s">
        <v>180</v>
      </c>
      <c r="BR85" s="2" t="s">
        <v>181</v>
      </c>
      <c r="BS85" s="2"/>
      <c r="BT85" s="2" t="s">
        <v>777</v>
      </c>
      <c r="BU85" s="2" t="s">
        <v>778</v>
      </c>
      <c r="BV85" s="2" t="s">
        <v>152</v>
      </c>
      <c r="BW85" s="2" t="s">
        <v>772</v>
      </c>
      <c r="BX85" s="2">
        <v>1628412077239</v>
      </c>
      <c r="BY85" s="2">
        <v>84</v>
      </c>
      <c r="BZ85" s="2">
        <v>242.50987153952423</v>
      </c>
      <c r="CA85" s="2">
        <v>1628411421306</v>
      </c>
      <c r="CB85" s="2"/>
      <c r="CC85" s="2"/>
      <c r="CD85" s="2"/>
      <c r="CE85" s="2"/>
      <c r="CF85" s="2">
        <v>37.33773321738628</v>
      </c>
      <c r="CG85" s="2">
        <v>-95.510704686381203</v>
      </c>
      <c r="CH85" s="2" t="s">
        <v>773</v>
      </c>
      <c r="CI85" s="2"/>
      <c r="CJ85" s="2">
        <v>1628411427306</v>
      </c>
      <c r="CK85" s="2" t="s">
        <v>184</v>
      </c>
      <c r="CL85" s="2" t="s">
        <v>185</v>
      </c>
    </row>
    <row r="86" spans="1:90" x14ac:dyDescent="0.25">
      <c r="A86" s="2" t="s">
        <v>171</v>
      </c>
      <c r="B86" s="2"/>
      <c r="C86" s="2" t="s">
        <v>150</v>
      </c>
      <c r="D86" s="2" t="s">
        <v>5</v>
      </c>
      <c r="E86" s="2">
        <v>8</v>
      </c>
      <c r="F86" s="2" t="s">
        <v>6</v>
      </c>
      <c r="G86" s="2" t="s">
        <v>151</v>
      </c>
      <c r="H86" s="2">
        <v>5.9930000000000003</v>
      </c>
      <c r="I86" s="2">
        <v>5486</v>
      </c>
      <c r="J86" s="2">
        <v>3972</v>
      </c>
      <c r="K86" s="2">
        <v>9458</v>
      </c>
      <c r="L86" s="2">
        <v>1253791</v>
      </c>
      <c r="M86" s="2">
        <v>664748</v>
      </c>
      <c r="N86" s="2">
        <v>589043</v>
      </c>
      <c r="O86" s="2"/>
      <c r="P86" s="2">
        <v>228.97031903579912</v>
      </c>
      <c r="Q86" s="2">
        <v>1628410884317</v>
      </c>
      <c r="R86" s="2">
        <v>5.9933231285255033</v>
      </c>
      <c r="S86" s="2"/>
      <c r="T86" s="2" t="s">
        <v>779</v>
      </c>
      <c r="U86" s="2"/>
      <c r="V86" s="2">
        <v>37.352397740086253</v>
      </c>
      <c r="W86" s="2">
        <v>-95.53001603980772</v>
      </c>
      <c r="X86" s="2" t="s">
        <v>780</v>
      </c>
      <c r="Y86" s="2"/>
      <c r="Z86" s="2">
        <v>1628410862317</v>
      </c>
      <c r="AA86" s="2">
        <v>229.08</v>
      </c>
      <c r="AB86" s="2">
        <v>1628412193414</v>
      </c>
      <c r="AC86" s="2">
        <v>19.490436119372024</v>
      </c>
      <c r="AD86" s="2"/>
      <c r="AE86" s="2" t="s">
        <v>779</v>
      </c>
      <c r="AF86" s="2"/>
      <c r="AG86" s="2">
        <v>37.352451629999997</v>
      </c>
      <c r="AH86" s="2">
        <v>-95.530015809999995</v>
      </c>
      <c r="AI86" s="2" t="s">
        <v>780</v>
      </c>
      <c r="AJ86" s="2"/>
      <c r="AK86" s="2">
        <v>1628412116108</v>
      </c>
      <c r="AL86" s="2">
        <v>1</v>
      </c>
      <c r="AM86" s="2">
        <v>229.08</v>
      </c>
      <c r="AN86" s="2">
        <v>1628410862317</v>
      </c>
      <c r="AO86" s="2"/>
      <c r="AP86" s="2"/>
      <c r="AQ86" s="2"/>
      <c r="AR86" s="2"/>
      <c r="AS86" s="2">
        <v>37.352451629999997</v>
      </c>
      <c r="AT86" s="2">
        <v>-95.530015809999995</v>
      </c>
      <c r="AU86" s="2" t="s">
        <v>780</v>
      </c>
      <c r="AV86" s="2"/>
      <c r="AW86" s="2">
        <v>1628410862317</v>
      </c>
      <c r="AX86" s="2" t="s">
        <v>781</v>
      </c>
      <c r="AY86" s="2" t="s">
        <v>782</v>
      </c>
      <c r="AZ86" s="2" t="s">
        <v>783</v>
      </c>
      <c r="BA86" s="2" t="s">
        <v>780</v>
      </c>
      <c r="BB86" s="2" t="s">
        <v>175</v>
      </c>
      <c r="BC86" s="2" t="s">
        <v>5</v>
      </c>
      <c r="BD86" s="2" t="s">
        <v>6</v>
      </c>
      <c r="BE86" s="2" t="s">
        <v>151</v>
      </c>
      <c r="BF86" s="2" t="s">
        <v>176</v>
      </c>
      <c r="BG86" s="2" t="s">
        <v>784</v>
      </c>
      <c r="BH86" s="2" t="s">
        <v>785</v>
      </c>
      <c r="BI86" s="2">
        <v>209</v>
      </c>
      <c r="BJ86" s="2">
        <v>8</v>
      </c>
      <c r="BK86" s="2" t="s">
        <v>5</v>
      </c>
      <c r="BL86" s="2">
        <v>8</v>
      </c>
      <c r="BM86" s="2" t="s">
        <v>6</v>
      </c>
      <c r="BN86" s="2" t="s">
        <v>151</v>
      </c>
      <c r="BO86" s="2">
        <v>1628410862317</v>
      </c>
      <c r="BP86" s="2" t="s">
        <v>154</v>
      </c>
      <c r="BQ86" s="2" t="s">
        <v>180</v>
      </c>
      <c r="BR86" s="2" t="s">
        <v>181</v>
      </c>
      <c r="BS86" s="2"/>
      <c r="BT86" s="2" t="s">
        <v>786</v>
      </c>
      <c r="BU86" s="2" t="s">
        <v>787</v>
      </c>
      <c r="BV86" s="2" t="s">
        <v>152</v>
      </c>
      <c r="BW86" s="2" t="s">
        <v>779</v>
      </c>
      <c r="BX86" s="2">
        <v>1628412122021</v>
      </c>
      <c r="BY86" s="2">
        <v>85</v>
      </c>
      <c r="BZ86" s="2">
        <v>242.77948617209961</v>
      </c>
      <c r="CA86" s="2">
        <v>1628411451360</v>
      </c>
      <c r="CB86" s="2">
        <v>17.979967860278595</v>
      </c>
      <c r="CC86" s="2"/>
      <c r="CD86" s="2" t="s">
        <v>779</v>
      </c>
      <c r="CE86" s="2"/>
      <c r="CF86" s="2">
        <v>37.337744999545727</v>
      </c>
      <c r="CG86" s="2">
        <v>-95.510501875514194</v>
      </c>
      <c r="CH86" s="2" t="s">
        <v>780</v>
      </c>
      <c r="CI86" s="2"/>
      <c r="CJ86" s="2">
        <v>1628411451360</v>
      </c>
      <c r="CK86" s="2" t="s">
        <v>184</v>
      </c>
      <c r="CL86" s="2" t="s">
        <v>185</v>
      </c>
    </row>
    <row r="87" spans="1:90" x14ac:dyDescent="0.25">
      <c r="A87" s="2" t="s">
        <v>171</v>
      </c>
      <c r="B87" s="2"/>
      <c r="C87" s="2" t="s">
        <v>150</v>
      </c>
      <c r="D87" s="2" t="s">
        <v>5</v>
      </c>
      <c r="E87" s="2">
        <v>8</v>
      </c>
      <c r="F87" s="2" t="s">
        <v>6</v>
      </c>
      <c r="G87" s="2" t="s">
        <v>151</v>
      </c>
      <c r="H87" s="2">
        <v>2181.924</v>
      </c>
      <c r="I87" s="2">
        <v>215</v>
      </c>
      <c r="J87" s="2">
        <v>3365</v>
      </c>
      <c r="K87" s="2">
        <v>3580</v>
      </c>
      <c r="L87" s="2">
        <v>528038</v>
      </c>
      <c r="M87" s="2">
        <v>82006</v>
      </c>
      <c r="N87" s="2">
        <v>446032</v>
      </c>
      <c r="O87" s="2"/>
      <c r="P87" s="2">
        <v>241.86235268889243</v>
      </c>
      <c r="Q87" s="2">
        <v>1628410884601</v>
      </c>
      <c r="R87" s="2">
        <v>5.9933216692653133</v>
      </c>
      <c r="S87" s="2"/>
      <c r="T87" s="2" t="s">
        <v>788</v>
      </c>
      <c r="U87" s="2"/>
      <c r="V87" s="2">
        <v>37.337062984300182</v>
      </c>
      <c r="W87" s="2">
        <v>-95.510470946740526</v>
      </c>
      <c r="X87" s="2" t="s">
        <v>789</v>
      </c>
      <c r="Y87" s="2"/>
      <c r="Z87" s="2">
        <v>1628410862601</v>
      </c>
      <c r="AA87" s="2">
        <v>239.26164028933351</v>
      </c>
      <c r="AB87" s="2">
        <v>1628411386638</v>
      </c>
      <c r="AC87" s="2">
        <v>17.588364012510649</v>
      </c>
      <c r="AD87" s="2"/>
      <c r="AE87" s="2" t="s">
        <v>788</v>
      </c>
      <c r="AF87" s="2"/>
      <c r="AG87" s="2">
        <v>37.33350061678447</v>
      </c>
      <c r="AH87" s="2">
        <v>-95.5347401176669</v>
      </c>
      <c r="AI87" s="2" t="s">
        <v>789</v>
      </c>
      <c r="AJ87" s="2"/>
      <c r="AK87" s="2">
        <v>1628411390639</v>
      </c>
      <c r="AL87" s="2">
        <v>1</v>
      </c>
      <c r="AM87" s="2">
        <v>241.89</v>
      </c>
      <c r="AN87" s="2">
        <v>1628410862601</v>
      </c>
      <c r="AO87" s="2"/>
      <c r="AP87" s="2"/>
      <c r="AQ87" s="2"/>
      <c r="AR87" s="2"/>
      <c r="AS87" s="2">
        <v>37.337052190000001</v>
      </c>
      <c r="AT87" s="2">
        <v>-95.510404530000002</v>
      </c>
      <c r="AU87" s="2" t="s">
        <v>789</v>
      </c>
      <c r="AV87" s="2"/>
      <c r="AW87" s="2">
        <v>1628410862601</v>
      </c>
      <c r="AX87" s="2" t="s">
        <v>790</v>
      </c>
      <c r="AY87" s="2" t="s">
        <v>791</v>
      </c>
      <c r="AZ87" s="2" t="s">
        <v>792</v>
      </c>
      <c r="BA87" s="2" t="s">
        <v>789</v>
      </c>
      <c r="BB87" s="2" t="s">
        <v>202</v>
      </c>
      <c r="BC87" s="2" t="s">
        <v>5</v>
      </c>
      <c r="BD87" s="2" t="s">
        <v>6</v>
      </c>
      <c r="BE87" s="2" t="s">
        <v>151</v>
      </c>
      <c r="BF87" s="2" t="s">
        <v>203</v>
      </c>
      <c r="BG87" s="2" t="s">
        <v>793</v>
      </c>
      <c r="BH87" s="2" t="s">
        <v>794</v>
      </c>
      <c r="BI87" s="2">
        <v>82</v>
      </c>
      <c r="BJ87" s="2">
        <v>8</v>
      </c>
      <c r="BK87" s="2" t="s">
        <v>5</v>
      </c>
      <c r="BL87" s="2">
        <v>8</v>
      </c>
      <c r="BM87" s="2" t="s">
        <v>6</v>
      </c>
      <c r="BN87" s="2" t="s">
        <v>151</v>
      </c>
      <c r="BO87" s="2">
        <v>1628410862601</v>
      </c>
      <c r="BP87" s="2" t="s">
        <v>154</v>
      </c>
      <c r="BQ87" s="2" t="s">
        <v>285</v>
      </c>
      <c r="BR87" s="2" t="s">
        <v>286</v>
      </c>
      <c r="BS87" s="2"/>
      <c r="BT87" s="2" t="s">
        <v>795</v>
      </c>
      <c r="BU87" s="2" t="s">
        <v>796</v>
      </c>
      <c r="BV87" s="2" t="s">
        <v>152</v>
      </c>
      <c r="BW87" s="2" t="s">
        <v>788</v>
      </c>
      <c r="BX87" s="2">
        <v>1628411392145</v>
      </c>
      <c r="BY87" s="2">
        <v>86</v>
      </c>
      <c r="BZ87" s="2">
        <v>239.16593305560011</v>
      </c>
      <c r="CA87" s="2">
        <v>1628411304633</v>
      </c>
      <c r="CB87" s="2">
        <v>13.079040868536342</v>
      </c>
      <c r="CC87" s="2"/>
      <c r="CD87" s="2" t="s">
        <v>788</v>
      </c>
      <c r="CE87" s="2"/>
      <c r="CF87" s="2">
        <v>37.334929057483144</v>
      </c>
      <c r="CG87" s="2">
        <v>-95.533759381107643</v>
      </c>
      <c r="CH87" s="2" t="s">
        <v>789</v>
      </c>
      <c r="CI87" s="2"/>
      <c r="CJ87" s="2">
        <v>1628411308633</v>
      </c>
      <c r="CK87" s="2" t="s">
        <v>197</v>
      </c>
      <c r="CL87" s="2" t="s">
        <v>198</v>
      </c>
    </row>
    <row r="88" spans="1:90" x14ac:dyDescent="0.25">
      <c r="A88" s="2" t="s">
        <v>171</v>
      </c>
      <c r="B88" s="2"/>
      <c r="C88" s="2" t="s">
        <v>150</v>
      </c>
      <c r="D88" s="2" t="s">
        <v>5</v>
      </c>
      <c r="E88" s="2">
        <v>8</v>
      </c>
      <c r="F88" s="2" t="s">
        <v>6</v>
      </c>
      <c r="G88" s="2" t="s">
        <v>151</v>
      </c>
      <c r="H88" s="2">
        <v>5.9930000000000003</v>
      </c>
      <c r="I88" s="2">
        <v>5486</v>
      </c>
      <c r="J88" s="2">
        <v>3972</v>
      </c>
      <c r="K88" s="2">
        <v>9458</v>
      </c>
      <c r="L88" s="2">
        <v>1273807</v>
      </c>
      <c r="M88" s="2">
        <v>684765</v>
      </c>
      <c r="N88" s="2">
        <v>589042</v>
      </c>
      <c r="O88" s="2"/>
      <c r="P88" s="2">
        <v>228.97031903579912</v>
      </c>
      <c r="Q88" s="2">
        <v>1628410890716</v>
      </c>
      <c r="R88" s="2">
        <v>5.9933231285255033</v>
      </c>
      <c r="S88" s="2"/>
      <c r="T88" s="2" t="s">
        <v>797</v>
      </c>
      <c r="U88" s="2"/>
      <c r="V88" s="2">
        <v>37.352397740086253</v>
      </c>
      <c r="W88" s="2">
        <v>-95.53001603980772</v>
      </c>
      <c r="X88" s="2" t="s">
        <v>798</v>
      </c>
      <c r="Y88" s="2"/>
      <c r="Z88" s="2">
        <v>1628410868716</v>
      </c>
      <c r="AA88" s="2">
        <v>229.08</v>
      </c>
      <c r="AB88" s="2">
        <v>1628412199816</v>
      </c>
      <c r="AC88" s="2">
        <v>19.490436119372024</v>
      </c>
      <c r="AD88" s="2"/>
      <c r="AE88" s="2" t="s">
        <v>797</v>
      </c>
      <c r="AF88" s="2"/>
      <c r="AG88" s="2">
        <v>37.352451629999997</v>
      </c>
      <c r="AH88" s="2">
        <v>-95.530015809999995</v>
      </c>
      <c r="AI88" s="2" t="s">
        <v>798</v>
      </c>
      <c r="AJ88" s="2"/>
      <c r="AK88" s="2">
        <v>1628412142523</v>
      </c>
      <c r="AL88" s="2">
        <v>1</v>
      </c>
      <c r="AM88" s="2">
        <v>229.08</v>
      </c>
      <c r="AN88" s="2">
        <v>1628410868716</v>
      </c>
      <c r="AO88" s="2"/>
      <c r="AP88" s="2"/>
      <c r="AQ88" s="2"/>
      <c r="AR88" s="2"/>
      <c r="AS88" s="2">
        <v>37.352451629999997</v>
      </c>
      <c r="AT88" s="2">
        <v>-95.530015809999995</v>
      </c>
      <c r="AU88" s="2" t="s">
        <v>798</v>
      </c>
      <c r="AV88" s="2"/>
      <c r="AW88" s="2">
        <v>1628410868716</v>
      </c>
      <c r="AX88" s="2" t="s">
        <v>781</v>
      </c>
      <c r="AY88" s="2" t="s">
        <v>782</v>
      </c>
      <c r="AZ88" s="2" t="s">
        <v>799</v>
      </c>
      <c r="BA88" s="2" t="s">
        <v>798</v>
      </c>
      <c r="BB88" s="2" t="s">
        <v>175</v>
      </c>
      <c r="BC88" s="2" t="s">
        <v>5</v>
      </c>
      <c r="BD88" s="2" t="s">
        <v>6</v>
      </c>
      <c r="BE88" s="2" t="s">
        <v>151</v>
      </c>
      <c r="BF88" s="2" t="s">
        <v>176</v>
      </c>
      <c r="BG88" s="2" t="s">
        <v>800</v>
      </c>
      <c r="BH88" s="2" t="s">
        <v>801</v>
      </c>
      <c r="BI88" s="2">
        <v>209</v>
      </c>
      <c r="BJ88" s="2">
        <v>8</v>
      </c>
      <c r="BK88" s="2" t="s">
        <v>5</v>
      </c>
      <c r="BL88" s="2">
        <v>8</v>
      </c>
      <c r="BM88" s="2" t="s">
        <v>6</v>
      </c>
      <c r="BN88" s="2" t="s">
        <v>151</v>
      </c>
      <c r="BO88" s="2">
        <v>1628410868716</v>
      </c>
      <c r="BP88" s="2" t="s">
        <v>154</v>
      </c>
      <c r="BQ88" s="2" t="s">
        <v>180</v>
      </c>
      <c r="BR88" s="2" t="s">
        <v>181</v>
      </c>
      <c r="BS88" s="2"/>
      <c r="BT88" s="2" t="s">
        <v>802</v>
      </c>
      <c r="BU88" s="2" t="s">
        <v>803</v>
      </c>
      <c r="BV88" s="2" t="s">
        <v>152</v>
      </c>
      <c r="BW88" s="2" t="s">
        <v>797</v>
      </c>
      <c r="BX88" s="2">
        <v>1628412147662</v>
      </c>
      <c r="BY88" s="2">
        <v>87</v>
      </c>
      <c r="BZ88" s="2">
        <v>242.50987153952423</v>
      </c>
      <c r="CA88" s="2">
        <v>1628411451758</v>
      </c>
      <c r="CB88" s="2">
        <v>16.669682940510167</v>
      </c>
      <c r="CC88" s="2"/>
      <c r="CD88" s="2" t="s">
        <v>797</v>
      </c>
      <c r="CE88" s="2"/>
      <c r="CF88" s="2">
        <v>37.33773321738628</v>
      </c>
      <c r="CG88" s="2">
        <v>-95.510704686381203</v>
      </c>
      <c r="CH88" s="2" t="s">
        <v>798</v>
      </c>
      <c r="CI88" s="2"/>
      <c r="CJ88" s="2">
        <v>1628411457758</v>
      </c>
      <c r="CK88" s="2" t="s">
        <v>184</v>
      </c>
      <c r="CL88" s="2" t="s">
        <v>185</v>
      </c>
    </row>
    <row r="89" spans="1:90" x14ac:dyDescent="0.25">
      <c r="A89" s="2" t="s">
        <v>171</v>
      </c>
      <c r="B89" s="2">
        <v>1628411303992</v>
      </c>
      <c r="C89" s="2" t="s">
        <v>150</v>
      </c>
      <c r="D89" s="2" t="s">
        <v>5</v>
      </c>
      <c r="E89" s="2">
        <v>8</v>
      </c>
      <c r="F89" s="2" t="s">
        <v>6</v>
      </c>
      <c r="G89" s="2" t="s">
        <v>151</v>
      </c>
      <c r="H89" s="2">
        <v>2207.36</v>
      </c>
      <c r="I89" s="2">
        <v>96</v>
      </c>
      <c r="J89" s="2">
        <v>3236</v>
      </c>
      <c r="K89" s="2">
        <v>3332</v>
      </c>
      <c r="L89" s="2">
        <v>432031</v>
      </c>
      <c r="M89" s="2">
        <v>38003</v>
      </c>
      <c r="N89" s="2">
        <v>394028</v>
      </c>
      <c r="O89" s="2">
        <v>1628411303992</v>
      </c>
      <c r="P89" s="2">
        <v>239.69709878161069</v>
      </c>
      <c r="Q89" s="2">
        <v>1628410893961</v>
      </c>
      <c r="R89" s="2">
        <v>17.528697535194254</v>
      </c>
      <c r="S89" s="2"/>
      <c r="T89" s="2" t="s">
        <v>804</v>
      </c>
      <c r="U89" s="2"/>
      <c r="V89" s="2">
        <v>37.333344082771653</v>
      </c>
      <c r="W89" s="2">
        <v>-95.534717204015976</v>
      </c>
      <c r="X89" s="2" t="s">
        <v>805</v>
      </c>
      <c r="Y89" s="2"/>
      <c r="Z89" s="2">
        <v>1628410871961</v>
      </c>
      <c r="AA89" s="2">
        <v>242.16689180453045</v>
      </c>
      <c r="AB89" s="2">
        <v>1628411301991</v>
      </c>
      <c r="AC89" s="2">
        <v>19.859073386652835</v>
      </c>
      <c r="AD89" s="2"/>
      <c r="AE89" s="2" t="s">
        <v>804</v>
      </c>
      <c r="AF89" s="2"/>
      <c r="AG89" s="2">
        <v>37.33716243579876</v>
      </c>
      <c r="AH89" s="2">
        <v>-95.51021644856506</v>
      </c>
      <c r="AI89" s="2" t="s">
        <v>805</v>
      </c>
      <c r="AJ89" s="2"/>
      <c r="AK89" s="2">
        <v>1628411303992</v>
      </c>
      <c r="AL89" s="2">
        <v>1</v>
      </c>
      <c r="AM89" s="2">
        <v>239.26164028933351</v>
      </c>
      <c r="AN89" s="2">
        <v>1628410867960</v>
      </c>
      <c r="AO89" s="2"/>
      <c r="AP89" s="2"/>
      <c r="AQ89" s="2"/>
      <c r="AR89" s="2"/>
      <c r="AS89" s="2">
        <v>37.33350061678447</v>
      </c>
      <c r="AT89" s="2">
        <v>-95.5347401176669</v>
      </c>
      <c r="AU89" s="2" t="s">
        <v>805</v>
      </c>
      <c r="AV89" s="2"/>
      <c r="AW89" s="2">
        <v>1628410871961</v>
      </c>
      <c r="AX89" s="2" t="s">
        <v>806</v>
      </c>
      <c r="AY89" s="2" t="s">
        <v>807</v>
      </c>
      <c r="AZ89" s="2" t="s">
        <v>808</v>
      </c>
      <c r="BA89" s="2" t="s">
        <v>805</v>
      </c>
      <c r="BB89" s="2" t="s">
        <v>189</v>
      </c>
      <c r="BC89" s="2" t="s">
        <v>5</v>
      </c>
      <c r="BD89" s="2" t="s">
        <v>6</v>
      </c>
      <c r="BE89" s="2" t="s">
        <v>151</v>
      </c>
      <c r="BF89" s="2" t="s">
        <v>190</v>
      </c>
      <c r="BG89" s="2" t="s">
        <v>809</v>
      </c>
      <c r="BH89" s="2" t="s">
        <v>810</v>
      </c>
      <c r="BI89" s="2">
        <v>68</v>
      </c>
      <c r="BJ89" s="2">
        <v>8</v>
      </c>
      <c r="BK89" s="2" t="s">
        <v>5</v>
      </c>
      <c r="BL89" s="2">
        <v>8</v>
      </c>
      <c r="BM89" s="2" t="s">
        <v>6</v>
      </c>
      <c r="BN89" s="2" t="s">
        <v>151</v>
      </c>
      <c r="BO89" s="2">
        <v>1628410871961</v>
      </c>
      <c r="BP89" s="2" t="s">
        <v>153</v>
      </c>
      <c r="BQ89" s="2" t="s">
        <v>193</v>
      </c>
      <c r="BR89" s="2" t="s">
        <v>194</v>
      </c>
      <c r="BS89" s="2">
        <v>432031</v>
      </c>
      <c r="BT89" s="2" t="s">
        <v>811</v>
      </c>
      <c r="BU89" s="2" t="s">
        <v>812</v>
      </c>
      <c r="BV89" s="2" t="s">
        <v>152</v>
      </c>
      <c r="BW89" s="2" t="s">
        <v>804</v>
      </c>
      <c r="BX89" s="2">
        <v>1628411307796</v>
      </c>
      <c r="BY89" s="2">
        <v>88</v>
      </c>
      <c r="BZ89" s="2">
        <v>243.17387872042161</v>
      </c>
      <c r="CA89" s="2">
        <v>1628411259989</v>
      </c>
      <c r="CB89" s="2">
        <v>21.12379312281454</v>
      </c>
      <c r="CC89" s="2"/>
      <c r="CD89" s="2" t="s">
        <v>804</v>
      </c>
      <c r="CE89" s="2"/>
      <c r="CF89" s="2">
        <v>37.337833086025498</v>
      </c>
      <c r="CG89" s="2">
        <v>-95.509626448840663</v>
      </c>
      <c r="CH89" s="2" t="s">
        <v>805</v>
      </c>
      <c r="CI89" s="2"/>
      <c r="CJ89" s="2">
        <v>1628411265989</v>
      </c>
      <c r="CK89" s="2" t="s">
        <v>215</v>
      </c>
      <c r="CL89" s="2" t="s">
        <v>216</v>
      </c>
    </row>
    <row r="90" spans="1:90" x14ac:dyDescent="0.25">
      <c r="A90" s="2" t="s">
        <v>171</v>
      </c>
      <c r="B90" s="2"/>
      <c r="C90" s="2" t="s">
        <v>150</v>
      </c>
      <c r="D90" s="2" t="s">
        <v>5</v>
      </c>
      <c r="E90" s="2">
        <v>8</v>
      </c>
      <c r="F90" s="2" t="s">
        <v>6</v>
      </c>
      <c r="G90" s="2" t="s">
        <v>151</v>
      </c>
      <c r="H90" s="2">
        <v>5.9930000000000003</v>
      </c>
      <c r="I90" s="2">
        <v>5486</v>
      </c>
      <c r="J90" s="2">
        <v>3972</v>
      </c>
      <c r="K90" s="2">
        <v>9458</v>
      </c>
      <c r="L90" s="2">
        <v>1234683</v>
      </c>
      <c r="M90" s="2">
        <v>645640</v>
      </c>
      <c r="N90" s="2">
        <v>589043</v>
      </c>
      <c r="O90" s="2"/>
      <c r="P90" s="2">
        <v>228.97031903579912</v>
      </c>
      <c r="Q90" s="2">
        <v>1628410896318</v>
      </c>
      <c r="R90" s="2">
        <v>5.9933231285255033</v>
      </c>
      <c r="S90" s="2"/>
      <c r="T90" s="2" t="s">
        <v>813</v>
      </c>
      <c r="U90" s="2"/>
      <c r="V90" s="2">
        <v>37.352397740086253</v>
      </c>
      <c r="W90" s="2">
        <v>-95.53001603980772</v>
      </c>
      <c r="X90" s="2" t="s">
        <v>814</v>
      </c>
      <c r="Y90" s="2"/>
      <c r="Z90" s="2">
        <v>1628410874318</v>
      </c>
      <c r="AA90" s="2">
        <v>229.08</v>
      </c>
      <c r="AB90" s="2">
        <v>1628412205413</v>
      </c>
      <c r="AC90" s="2">
        <v>19.490436119372024</v>
      </c>
      <c r="AD90" s="2"/>
      <c r="AE90" s="2" t="s">
        <v>813</v>
      </c>
      <c r="AF90" s="2"/>
      <c r="AG90" s="2">
        <v>37.352451629999997</v>
      </c>
      <c r="AH90" s="2">
        <v>-95.530015809999995</v>
      </c>
      <c r="AI90" s="2" t="s">
        <v>814</v>
      </c>
      <c r="AJ90" s="2"/>
      <c r="AK90" s="2">
        <v>1628412109001</v>
      </c>
      <c r="AL90" s="2">
        <v>1</v>
      </c>
      <c r="AM90" s="2">
        <v>229.08</v>
      </c>
      <c r="AN90" s="2">
        <v>1628410874318</v>
      </c>
      <c r="AO90" s="2"/>
      <c r="AP90" s="2"/>
      <c r="AQ90" s="2"/>
      <c r="AR90" s="2"/>
      <c r="AS90" s="2">
        <v>37.352451629999997</v>
      </c>
      <c r="AT90" s="2">
        <v>-95.530015809999995</v>
      </c>
      <c r="AU90" s="2" t="s">
        <v>814</v>
      </c>
      <c r="AV90" s="2"/>
      <c r="AW90" s="2">
        <v>1628410874318</v>
      </c>
      <c r="AX90" s="2" t="s">
        <v>781</v>
      </c>
      <c r="AY90" s="2" t="s">
        <v>782</v>
      </c>
      <c r="AZ90" s="2" t="s">
        <v>815</v>
      </c>
      <c r="BA90" s="2" t="s">
        <v>814</v>
      </c>
      <c r="BB90" s="2" t="s">
        <v>175</v>
      </c>
      <c r="BC90" s="2" t="s">
        <v>5</v>
      </c>
      <c r="BD90" s="2" t="s">
        <v>6</v>
      </c>
      <c r="BE90" s="2" t="s">
        <v>151</v>
      </c>
      <c r="BF90" s="2" t="s">
        <v>176</v>
      </c>
      <c r="BG90" s="2" t="s">
        <v>816</v>
      </c>
      <c r="BH90" s="2" t="s">
        <v>817</v>
      </c>
      <c r="BI90" s="2">
        <v>209</v>
      </c>
      <c r="BJ90" s="2">
        <v>8</v>
      </c>
      <c r="BK90" s="2" t="s">
        <v>5</v>
      </c>
      <c r="BL90" s="2">
        <v>8</v>
      </c>
      <c r="BM90" s="2" t="s">
        <v>6</v>
      </c>
      <c r="BN90" s="2" t="s">
        <v>151</v>
      </c>
      <c r="BO90" s="2">
        <v>1628410874318</v>
      </c>
      <c r="BP90" s="2" t="s">
        <v>154</v>
      </c>
      <c r="BQ90" s="2" t="s">
        <v>180</v>
      </c>
      <c r="BR90" s="2" t="s">
        <v>181</v>
      </c>
      <c r="BS90" s="2"/>
      <c r="BT90" s="2" t="s">
        <v>818</v>
      </c>
      <c r="BU90" s="2" t="s">
        <v>819</v>
      </c>
      <c r="BV90" s="2" t="s">
        <v>152</v>
      </c>
      <c r="BW90" s="2" t="s">
        <v>813</v>
      </c>
      <c r="BX90" s="2">
        <v>1628412115610</v>
      </c>
      <c r="BY90" s="2">
        <v>89</v>
      </c>
      <c r="BZ90" s="2">
        <v>242.77948617209961</v>
      </c>
      <c r="CA90" s="2">
        <v>1628411463361</v>
      </c>
      <c r="CB90" s="2">
        <v>17.979967860278595</v>
      </c>
      <c r="CC90" s="2"/>
      <c r="CD90" s="2" t="s">
        <v>813</v>
      </c>
      <c r="CE90" s="2"/>
      <c r="CF90" s="2">
        <v>37.337744999545727</v>
      </c>
      <c r="CG90" s="2">
        <v>-95.510501875514194</v>
      </c>
      <c r="CH90" s="2" t="s">
        <v>814</v>
      </c>
      <c r="CI90" s="2"/>
      <c r="CJ90" s="2">
        <v>1628411463361</v>
      </c>
      <c r="CK90" s="2" t="s">
        <v>184</v>
      </c>
      <c r="CL90" s="2" t="s">
        <v>185</v>
      </c>
    </row>
    <row r="91" spans="1:90" x14ac:dyDescent="0.25">
      <c r="A91" s="2" t="s">
        <v>171</v>
      </c>
      <c r="B91" s="2"/>
      <c r="C91" s="2" t="s">
        <v>150</v>
      </c>
      <c r="D91" s="2" t="s">
        <v>5</v>
      </c>
      <c r="E91" s="2">
        <v>8</v>
      </c>
      <c r="F91" s="2" t="s">
        <v>6</v>
      </c>
      <c r="G91" s="2" t="s">
        <v>151</v>
      </c>
      <c r="H91" s="2">
        <v>2181.924</v>
      </c>
      <c r="I91" s="2">
        <v>215</v>
      </c>
      <c r="J91" s="2">
        <v>3365</v>
      </c>
      <c r="K91" s="2">
        <v>3580</v>
      </c>
      <c r="L91" s="2">
        <v>528038</v>
      </c>
      <c r="M91" s="2">
        <v>82006</v>
      </c>
      <c r="N91" s="2">
        <v>446032</v>
      </c>
      <c r="O91" s="2"/>
      <c r="P91" s="2">
        <v>241.86235268889243</v>
      </c>
      <c r="Q91" s="2">
        <v>1628410899079</v>
      </c>
      <c r="R91" s="2">
        <v>5.9933216692653133</v>
      </c>
      <c r="S91" s="2"/>
      <c r="T91" s="2" t="s">
        <v>820</v>
      </c>
      <c r="U91" s="2"/>
      <c r="V91" s="2">
        <v>37.337062984300182</v>
      </c>
      <c r="W91" s="2">
        <v>-95.510470946740526</v>
      </c>
      <c r="X91" s="2" t="s">
        <v>821</v>
      </c>
      <c r="Y91" s="2"/>
      <c r="Z91" s="2">
        <v>1628410877078</v>
      </c>
      <c r="AA91" s="2">
        <v>239.26164028933351</v>
      </c>
      <c r="AB91" s="2">
        <v>1628411401115</v>
      </c>
      <c r="AC91" s="2">
        <v>17.588364012510649</v>
      </c>
      <c r="AD91" s="2"/>
      <c r="AE91" s="2" t="s">
        <v>820</v>
      </c>
      <c r="AF91" s="2"/>
      <c r="AG91" s="2">
        <v>37.33350061678447</v>
      </c>
      <c r="AH91" s="2">
        <v>-95.5347401176669</v>
      </c>
      <c r="AI91" s="2" t="s">
        <v>821</v>
      </c>
      <c r="AJ91" s="2"/>
      <c r="AK91" s="2">
        <v>1628411405116</v>
      </c>
      <c r="AL91" s="2">
        <v>1</v>
      </c>
      <c r="AM91" s="2">
        <v>241.89</v>
      </c>
      <c r="AN91" s="2">
        <v>1628410877078</v>
      </c>
      <c r="AO91" s="2"/>
      <c r="AP91" s="2"/>
      <c r="AQ91" s="2"/>
      <c r="AR91" s="2"/>
      <c r="AS91" s="2">
        <v>37.337052190000001</v>
      </c>
      <c r="AT91" s="2">
        <v>-95.510404530000002</v>
      </c>
      <c r="AU91" s="2" t="s">
        <v>821</v>
      </c>
      <c r="AV91" s="2"/>
      <c r="AW91" s="2">
        <v>1628410877078</v>
      </c>
      <c r="AX91" s="2" t="s">
        <v>790</v>
      </c>
      <c r="AY91" s="2" t="s">
        <v>791</v>
      </c>
      <c r="AZ91" s="2" t="s">
        <v>822</v>
      </c>
      <c r="BA91" s="2" t="s">
        <v>821</v>
      </c>
      <c r="BB91" s="2" t="s">
        <v>202</v>
      </c>
      <c r="BC91" s="2" t="s">
        <v>5</v>
      </c>
      <c r="BD91" s="2" t="s">
        <v>6</v>
      </c>
      <c r="BE91" s="2" t="s">
        <v>151</v>
      </c>
      <c r="BF91" s="2" t="s">
        <v>203</v>
      </c>
      <c r="BG91" s="2" t="s">
        <v>823</v>
      </c>
      <c r="BH91" s="2" t="s">
        <v>824</v>
      </c>
      <c r="BI91" s="2">
        <v>82</v>
      </c>
      <c r="BJ91" s="2">
        <v>8</v>
      </c>
      <c r="BK91" s="2" t="s">
        <v>5</v>
      </c>
      <c r="BL91" s="2">
        <v>8</v>
      </c>
      <c r="BM91" s="2" t="s">
        <v>6</v>
      </c>
      <c r="BN91" s="2" t="s">
        <v>151</v>
      </c>
      <c r="BO91" s="2">
        <v>1628410877078</v>
      </c>
      <c r="BP91" s="2" t="s">
        <v>154</v>
      </c>
      <c r="BQ91" s="2" t="s">
        <v>193</v>
      </c>
      <c r="BR91" s="2" t="s">
        <v>194</v>
      </c>
      <c r="BS91" s="2"/>
      <c r="BT91" s="2" t="s">
        <v>825</v>
      </c>
      <c r="BU91" s="2" t="s">
        <v>826</v>
      </c>
      <c r="BV91" s="2" t="s">
        <v>152</v>
      </c>
      <c r="BW91" s="2" t="s">
        <v>820</v>
      </c>
      <c r="BX91" s="2">
        <v>1628411406573</v>
      </c>
      <c r="BY91" s="2">
        <v>90</v>
      </c>
      <c r="BZ91" s="2">
        <v>239.16593305560011</v>
      </c>
      <c r="CA91" s="2">
        <v>1628411319110</v>
      </c>
      <c r="CB91" s="2">
        <v>13.079040868536342</v>
      </c>
      <c r="CC91" s="2"/>
      <c r="CD91" s="2" t="s">
        <v>820</v>
      </c>
      <c r="CE91" s="2"/>
      <c r="CF91" s="2">
        <v>37.334929057483144</v>
      </c>
      <c r="CG91" s="2">
        <v>-95.533759381107643</v>
      </c>
      <c r="CH91" s="2" t="s">
        <v>821</v>
      </c>
      <c r="CI91" s="2"/>
      <c r="CJ91" s="2">
        <v>1628411323110</v>
      </c>
      <c r="CK91" s="2" t="s">
        <v>197</v>
      </c>
      <c r="CL91" s="2" t="s">
        <v>198</v>
      </c>
    </row>
    <row r="92" spans="1:90" x14ac:dyDescent="0.25">
      <c r="A92" s="2" t="s">
        <v>171</v>
      </c>
      <c r="B92" s="2"/>
      <c r="C92" s="2" t="s">
        <v>150</v>
      </c>
      <c r="D92" s="2" t="s">
        <v>5</v>
      </c>
      <c r="E92" s="2">
        <v>8</v>
      </c>
      <c r="F92" s="2" t="s">
        <v>6</v>
      </c>
      <c r="G92" s="2" t="s">
        <v>151</v>
      </c>
      <c r="H92" s="2">
        <v>5.9930000000000003</v>
      </c>
      <c r="I92" s="2">
        <v>5486</v>
      </c>
      <c r="J92" s="2">
        <v>3972</v>
      </c>
      <c r="K92" s="2">
        <v>9458</v>
      </c>
      <c r="L92" s="2">
        <v>1276296</v>
      </c>
      <c r="M92" s="2">
        <v>687252</v>
      </c>
      <c r="N92" s="2">
        <v>589044</v>
      </c>
      <c r="O92" s="2"/>
      <c r="P92" s="2">
        <v>228.97031903579912</v>
      </c>
      <c r="Q92" s="2">
        <v>1628410916297</v>
      </c>
      <c r="R92" s="2">
        <v>5.9933231285255033</v>
      </c>
      <c r="S92" s="2"/>
      <c r="T92" s="2" t="s">
        <v>827</v>
      </c>
      <c r="U92" s="2"/>
      <c r="V92" s="2">
        <v>37.352397740086253</v>
      </c>
      <c r="W92" s="2">
        <v>-95.53001603980772</v>
      </c>
      <c r="X92" s="2" t="s">
        <v>828</v>
      </c>
      <c r="Y92" s="2"/>
      <c r="Z92" s="2">
        <v>1628410894297</v>
      </c>
      <c r="AA92" s="2">
        <v>229.08</v>
      </c>
      <c r="AB92" s="2">
        <v>1628412225394</v>
      </c>
      <c r="AC92" s="2">
        <v>19.490436119372024</v>
      </c>
      <c r="AD92" s="2"/>
      <c r="AE92" s="2" t="s">
        <v>827</v>
      </c>
      <c r="AF92" s="2"/>
      <c r="AG92" s="2">
        <v>37.352451629999997</v>
      </c>
      <c r="AH92" s="2">
        <v>-95.530015809999995</v>
      </c>
      <c r="AI92" s="2" t="s">
        <v>828</v>
      </c>
      <c r="AJ92" s="2"/>
      <c r="AK92" s="2">
        <v>1628412170593</v>
      </c>
      <c r="AL92" s="2">
        <v>1</v>
      </c>
      <c r="AM92" s="2">
        <v>229.08</v>
      </c>
      <c r="AN92" s="2">
        <v>1628410894297</v>
      </c>
      <c r="AO92" s="2"/>
      <c r="AP92" s="2"/>
      <c r="AQ92" s="2"/>
      <c r="AR92" s="2"/>
      <c r="AS92" s="2">
        <v>37.352451629999997</v>
      </c>
      <c r="AT92" s="2">
        <v>-95.530015809999995</v>
      </c>
      <c r="AU92" s="2" t="s">
        <v>828</v>
      </c>
      <c r="AV92" s="2"/>
      <c r="AW92" s="2">
        <v>1628410894297</v>
      </c>
      <c r="AX92" s="2" t="s">
        <v>781</v>
      </c>
      <c r="AY92" s="2" t="s">
        <v>782</v>
      </c>
      <c r="AZ92" s="2" t="s">
        <v>829</v>
      </c>
      <c r="BA92" s="2" t="s">
        <v>828</v>
      </c>
      <c r="BB92" s="2" t="s">
        <v>175</v>
      </c>
      <c r="BC92" s="2" t="s">
        <v>5</v>
      </c>
      <c r="BD92" s="2" t="s">
        <v>6</v>
      </c>
      <c r="BE92" s="2" t="s">
        <v>151</v>
      </c>
      <c r="BF92" s="2" t="s">
        <v>176</v>
      </c>
      <c r="BG92" s="2" t="s">
        <v>830</v>
      </c>
      <c r="BH92" s="2" t="s">
        <v>831</v>
      </c>
      <c r="BI92" s="2">
        <v>209</v>
      </c>
      <c r="BJ92" s="2">
        <v>8</v>
      </c>
      <c r="BK92" s="2" t="s">
        <v>5</v>
      </c>
      <c r="BL92" s="2">
        <v>8</v>
      </c>
      <c r="BM92" s="2" t="s">
        <v>6</v>
      </c>
      <c r="BN92" s="2" t="s">
        <v>151</v>
      </c>
      <c r="BO92" s="2">
        <v>1628410894297</v>
      </c>
      <c r="BP92" s="2" t="s">
        <v>154</v>
      </c>
      <c r="BQ92" s="2" t="s">
        <v>180</v>
      </c>
      <c r="BR92" s="2" t="s">
        <v>181</v>
      </c>
      <c r="BS92" s="2"/>
      <c r="BT92" s="2" t="s">
        <v>832</v>
      </c>
      <c r="BU92" s="2" t="s">
        <v>833</v>
      </c>
      <c r="BV92" s="2" t="s">
        <v>152</v>
      </c>
      <c r="BW92" s="2" t="s">
        <v>827</v>
      </c>
      <c r="BX92" s="2">
        <v>1628412173208</v>
      </c>
      <c r="BY92" s="2">
        <v>91</v>
      </c>
      <c r="BZ92" s="2">
        <v>242.50987153952423</v>
      </c>
      <c r="CA92" s="2">
        <v>1628411477340</v>
      </c>
      <c r="CB92" s="2">
        <v>16.669682940510167</v>
      </c>
      <c r="CC92" s="2"/>
      <c r="CD92" s="2" t="s">
        <v>827</v>
      </c>
      <c r="CE92" s="2"/>
      <c r="CF92" s="2">
        <v>37.33773321738628</v>
      </c>
      <c r="CG92" s="2">
        <v>-95.510704686381203</v>
      </c>
      <c r="CH92" s="2" t="s">
        <v>828</v>
      </c>
      <c r="CI92" s="2"/>
      <c r="CJ92" s="2">
        <v>1628411483341</v>
      </c>
      <c r="CK92" s="2" t="s">
        <v>184</v>
      </c>
      <c r="CL92" s="2" t="s">
        <v>185</v>
      </c>
    </row>
    <row r="93" spans="1:90" x14ac:dyDescent="0.25">
      <c r="A93" s="2" t="s">
        <v>171</v>
      </c>
      <c r="B93" s="2"/>
      <c r="C93" s="2" t="s">
        <v>150</v>
      </c>
      <c r="D93" s="2" t="s">
        <v>5</v>
      </c>
      <c r="E93" s="2">
        <v>8</v>
      </c>
      <c r="F93" s="2" t="s">
        <v>6</v>
      </c>
      <c r="G93" s="2" t="s">
        <v>151</v>
      </c>
      <c r="H93" s="2">
        <v>19.489999999999998</v>
      </c>
      <c r="I93" s="2">
        <v>5467</v>
      </c>
      <c r="J93" s="2">
        <v>3991</v>
      </c>
      <c r="K93" s="2">
        <v>9458</v>
      </c>
      <c r="L93" s="2">
        <v>1296577</v>
      </c>
      <c r="M93" s="2">
        <v>707536</v>
      </c>
      <c r="N93" s="2">
        <v>589041</v>
      </c>
      <c r="O93" s="2"/>
      <c r="P93" s="2">
        <v>229.08</v>
      </c>
      <c r="Q93" s="2">
        <v>1628410895274</v>
      </c>
      <c r="R93" s="2">
        <v>19.490436119372024</v>
      </c>
      <c r="S93" s="2"/>
      <c r="T93" s="2" t="s">
        <v>834</v>
      </c>
      <c r="U93" s="2"/>
      <c r="V93" s="2">
        <v>37.352451629999997</v>
      </c>
      <c r="W93" s="2">
        <v>-95.530015809999995</v>
      </c>
      <c r="X93" s="2" t="s">
        <v>835</v>
      </c>
      <c r="Y93" s="2"/>
      <c r="Z93" s="2">
        <v>1628410895274</v>
      </c>
      <c r="AA93" s="2">
        <v>232.04981030064999</v>
      </c>
      <c r="AB93" s="2">
        <v>1628412192363</v>
      </c>
      <c r="AC93" s="2">
        <v>16.814136354419173</v>
      </c>
      <c r="AD93" s="2"/>
      <c r="AE93" s="2" t="s">
        <v>834</v>
      </c>
      <c r="AF93" s="2"/>
      <c r="AG93" s="2">
        <v>37.352449871446879</v>
      </c>
      <c r="AH93" s="2">
        <v>-95.529797893254525</v>
      </c>
      <c r="AI93" s="2" t="s">
        <v>835</v>
      </c>
      <c r="AJ93" s="2"/>
      <c r="AK93" s="2">
        <v>1628412191851</v>
      </c>
      <c r="AL93" s="2">
        <v>1</v>
      </c>
      <c r="AM93" s="2">
        <v>232.04981030064999</v>
      </c>
      <c r="AN93" s="2">
        <v>1628410861274</v>
      </c>
      <c r="AO93" s="2"/>
      <c r="AP93" s="2"/>
      <c r="AQ93" s="2"/>
      <c r="AR93" s="2"/>
      <c r="AS93" s="2">
        <v>37.352449871446879</v>
      </c>
      <c r="AT93" s="2">
        <v>-95.529797893254525</v>
      </c>
      <c r="AU93" s="2" t="s">
        <v>835</v>
      </c>
      <c r="AV93" s="2"/>
      <c r="AW93" s="2">
        <v>1628410895274</v>
      </c>
      <c r="AX93" s="2" t="s">
        <v>781</v>
      </c>
      <c r="AY93" s="2" t="s">
        <v>782</v>
      </c>
      <c r="AZ93" s="2" t="s">
        <v>836</v>
      </c>
      <c r="BA93" s="2" t="s">
        <v>835</v>
      </c>
      <c r="BB93" s="2" t="s">
        <v>175</v>
      </c>
      <c r="BC93" s="2" t="s">
        <v>5</v>
      </c>
      <c r="BD93" s="2" t="s">
        <v>6</v>
      </c>
      <c r="BE93" s="2" t="s">
        <v>151</v>
      </c>
      <c r="BF93" s="2" t="s">
        <v>176</v>
      </c>
      <c r="BG93" s="2" t="s">
        <v>837</v>
      </c>
      <c r="BH93" s="2" t="s">
        <v>838</v>
      </c>
      <c r="BI93" s="2">
        <v>209</v>
      </c>
      <c r="BJ93" s="2">
        <v>8</v>
      </c>
      <c r="BK93" s="2" t="s">
        <v>5</v>
      </c>
      <c r="BL93" s="2">
        <v>8</v>
      </c>
      <c r="BM93" s="2" t="s">
        <v>6</v>
      </c>
      <c r="BN93" s="2" t="s">
        <v>151</v>
      </c>
      <c r="BO93" s="2">
        <v>1628410895274</v>
      </c>
      <c r="BP93" s="2" t="s">
        <v>154</v>
      </c>
      <c r="BQ93" s="2" t="s">
        <v>180</v>
      </c>
      <c r="BR93" s="2" t="s">
        <v>181</v>
      </c>
      <c r="BS93" s="2"/>
      <c r="BT93" s="2" t="s">
        <v>839</v>
      </c>
      <c r="BU93" s="2" t="s">
        <v>840</v>
      </c>
      <c r="BV93" s="2" t="s">
        <v>152</v>
      </c>
      <c r="BW93" s="2" t="s">
        <v>834</v>
      </c>
      <c r="BX93" s="2">
        <v>1628412198841</v>
      </c>
      <c r="BY93" s="2">
        <v>92</v>
      </c>
      <c r="BZ93" s="2">
        <v>242.50987153952423</v>
      </c>
      <c r="CA93" s="2">
        <v>1628411478314</v>
      </c>
      <c r="CB93" s="2">
        <v>16.669682940510167</v>
      </c>
      <c r="CC93" s="2"/>
      <c r="CD93" s="2" t="s">
        <v>834</v>
      </c>
      <c r="CE93" s="2"/>
      <c r="CF93" s="2">
        <v>37.33773321738628</v>
      </c>
      <c r="CG93" s="2">
        <v>-95.510704686381203</v>
      </c>
      <c r="CH93" s="2" t="s">
        <v>835</v>
      </c>
      <c r="CI93" s="2"/>
      <c r="CJ93" s="2">
        <v>1628411484315</v>
      </c>
      <c r="CK93" s="2" t="s">
        <v>184</v>
      </c>
      <c r="CL93" s="2" t="s">
        <v>185</v>
      </c>
    </row>
    <row r="94" spans="1:90" x14ac:dyDescent="0.25">
      <c r="A94" s="2" t="s">
        <v>171</v>
      </c>
      <c r="B94" s="2"/>
      <c r="C94" s="2" t="s">
        <v>150</v>
      </c>
      <c r="D94" s="2" t="s">
        <v>5</v>
      </c>
      <c r="E94" s="2">
        <v>8</v>
      </c>
      <c r="F94" s="2" t="s">
        <v>6</v>
      </c>
      <c r="G94" s="2" t="s">
        <v>151</v>
      </c>
      <c r="H94" s="2">
        <v>2187.4810000000002</v>
      </c>
      <c r="I94" s="2">
        <v>215</v>
      </c>
      <c r="J94" s="2">
        <v>3386</v>
      </c>
      <c r="K94" s="2">
        <v>3600</v>
      </c>
      <c r="L94" s="2">
        <v>528062</v>
      </c>
      <c r="M94" s="2">
        <v>82014</v>
      </c>
      <c r="N94" s="2">
        <v>446048</v>
      </c>
      <c r="O94" s="2"/>
      <c r="P94" s="2">
        <v>241.89</v>
      </c>
      <c r="Q94" s="2">
        <v>1628410895988</v>
      </c>
      <c r="R94" s="2">
        <v>20.660284498590887</v>
      </c>
      <c r="S94" s="2"/>
      <c r="T94" s="2" t="s">
        <v>841</v>
      </c>
      <c r="U94" s="2"/>
      <c r="V94" s="2">
        <v>37.337052190000001</v>
      </c>
      <c r="W94" s="2">
        <v>-95.510404530000002</v>
      </c>
      <c r="X94" s="2" t="s">
        <v>842</v>
      </c>
      <c r="Y94" s="2"/>
      <c r="Z94" s="2">
        <v>1628410895988</v>
      </c>
      <c r="AA94" s="2">
        <v>239.26164028933351</v>
      </c>
      <c r="AB94" s="2">
        <v>1628411420050</v>
      </c>
      <c r="AC94" s="2">
        <v>17.588364012510649</v>
      </c>
      <c r="AD94" s="2"/>
      <c r="AE94" s="2" t="s">
        <v>841</v>
      </c>
      <c r="AF94" s="2"/>
      <c r="AG94" s="2">
        <v>37.33350061678447</v>
      </c>
      <c r="AH94" s="2">
        <v>-95.5347401176669</v>
      </c>
      <c r="AI94" s="2" t="s">
        <v>842</v>
      </c>
      <c r="AJ94" s="2"/>
      <c r="AK94" s="2">
        <v>1628411424050</v>
      </c>
      <c r="AL94" s="2">
        <v>1</v>
      </c>
      <c r="AM94" s="2">
        <v>242.16689180453045</v>
      </c>
      <c r="AN94" s="2">
        <v>1628410863987</v>
      </c>
      <c r="AO94" s="2"/>
      <c r="AP94" s="2"/>
      <c r="AQ94" s="2"/>
      <c r="AR94" s="2"/>
      <c r="AS94" s="2">
        <v>37.33716243579876</v>
      </c>
      <c r="AT94" s="2">
        <v>-95.51021644856506</v>
      </c>
      <c r="AU94" s="2" t="s">
        <v>842</v>
      </c>
      <c r="AV94" s="2"/>
      <c r="AW94" s="2">
        <v>1628410895988</v>
      </c>
      <c r="AX94" s="2" t="s">
        <v>790</v>
      </c>
      <c r="AY94" s="2" t="s">
        <v>791</v>
      </c>
      <c r="AZ94" s="2" t="s">
        <v>843</v>
      </c>
      <c r="BA94" s="2" t="s">
        <v>842</v>
      </c>
      <c r="BB94" s="2" t="s">
        <v>202</v>
      </c>
      <c r="BC94" s="2" t="s">
        <v>5</v>
      </c>
      <c r="BD94" s="2" t="s">
        <v>6</v>
      </c>
      <c r="BE94" s="2" t="s">
        <v>151</v>
      </c>
      <c r="BF94" s="2" t="s">
        <v>203</v>
      </c>
      <c r="BG94" s="2" t="s">
        <v>844</v>
      </c>
      <c r="BH94" s="2" t="s">
        <v>845</v>
      </c>
      <c r="BI94" s="2">
        <v>83</v>
      </c>
      <c r="BJ94" s="2">
        <v>8</v>
      </c>
      <c r="BK94" s="2" t="s">
        <v>5</v>
      </c>
      <c r="BL94" s="2">
        <v>8</v>
      </c>
      <c r="BM94" s="2" t="s">
        <v>6</v>
      </c>
      <c r="BN94" s="2" t="s">
        <v>151</v>
      </c>
      <c r="BO94" s="2">
        <v>1628410895988</v>
      </c>
      <c r="BP94" s="2" t="s">
        <v>154</v>
      </c>
      <c r="BQ94" s="2" t="s">
        <v>193</v>
      </c>
      <c r="BR94" s="2" t="s">
        <v>194</v>
      </c>
      <c r="BS94" s="2"/>
      <c r="BT94" s="2" t="s">
        <v>846</v>
      </c>
      <c r="BU94" s="2" t="s">
        <v>847</v>
      </c>
      <c r="BV94" s="2" t="s">
        <v>152</v>
      </c>
      <c r="BW94" s="2" t="s">
        <v>841</v>
      </c>
      <c r="BX94" s="2">
        <v>1628411432104</v>
      </c>
      <c r="BY94" s="2">
        <v>93</v>
      </c>
      <c r="BZ94" s="2">
        <v>239.16593305560011</v>
      </c>
      <c r="CA94" s="2">
        <v>1628411338036</v>
      </c>
      <c r="CB94" s="2">
        <v>13.079040868536342</v>
      </c>
      <c r="CC94" s="2"/>
      <c r="CD94" s="2" t="s">
        <v>841</v>
      </c>
      <c r="CE94" s="2"/>
      <c r="CF94" s="2">
        <v>37.334929057483144</v>
      </c>
      <c r="CG94" s="2">
        <v>-95.533759381107643</v>
      </c>
      <c r="CH94" s="2" t="s">
        <v>842</v>
      </c>
      <c r="CI94" s="2"/>
      <c r="CJ94" s="2">
        <v>1628411342036</v>
      </c>
      <c r="CK94" s="2" t="s">
        <v>197</v>
      </c>
      <c r="CL94" s="2" t="s">
        <v>198</v>
      </c>
    </row>
    <row r="95" spans="1:90" x14ac:dyDescent="0.25">
      <c r="A95" s="2" t="s">
        <v>171</v>
      </c>
      <c r="B95" s="2">
        <v>1628411337617</v>
      </c>
      <c r="C95" s="2" t="s">
        <v>150</v>
      </c>
      <c r="D95" s="2" t="s">
        <v>5</v>
      </c>
      <c r="E95" s="2">
        <v>8</v>
      </c>
      <c r="F95" s="2" t="s">
        <v>6</v>
      </c>
      <c r="G95" s="2" t="s">
        <v>151</v>
      </c>
      <c r="H95" s="2">
        <v>2207.36</v>
      </c>
      <c r="I95" s="2">
        <v>78</v>
      </c>
      <c r="J95" s="2">
        <v>3254</v>
      </c>
      <c r="K95" s="2">
        <v>3332</v>
      </c>
      <c r="L95" s="2">
        <v>432031</v>
      </c>
      <c r="M95" s="2">
        <v>38002</v>
      </c>
      <c r="N95" s="2">
        <v>394029</v>
      </c>
      <c r="O95" s="2">
        <v>1628411337617</v>
      </c>
      <c r="P95" s="2">
        <v>239.69709878161069</v>
      </c>
      <c r="Q95" s="2">
        <v>1628410927586</v>
      </c>
      <c r="R95" s="2">
        <v>17.528697535194254</v>
      </c>
      <c r="S95" s="2"/>
      <c r="T95" s="2" t="s">
        <v>848</v>
      </c>
      <c r="U95" s="2"/>
      <c r="V95" s="2">
        <v>37.333344082771653</v>
      </c>
      <c r="W95" s="2">
        <v>-95.534717204015976</v>
      </c>
      <c r="X95" s="2" t="s">
        <v>849</v>
      </c>
      <c r="Y95" s="2"/>
      <c r="Z95" s="2">
        <v>1628410905586</v>
      </c>
      <c r="AA95" s="2">
        <v>242.16689180453045</v>
      </c>
      <c r="AB95" s="2">
        <v>1628411335617</v>
      </c>
      <c r="AC95" s="2">
        <v>19.859073386652835</v>
      </c>
      <c r="AD95" s="2"/>
      <c r="AE95" s="2" t="s">
        <v>848</v>
      </c>
      <c r="AF95" s="2"/>
      <c r="AG95" s="2">
        <v>37.33716243579876</v>
      </c>
      <c r="AH95" s="2">
        <v>-95.51021644856506</v>
      </c>
      <c r="AI95" s="2" t="s">
        <v>849</v>
      </c>
      <c r="AJ95" s="2"/>
      <c r="AK95" s="2">
        <v>1628411337617</v>
      </c>
      <c r="AL95" s="2">
        <v>1</v>
      </c>
      <c r="AM95" s="2">
        <v>239.26164028933351</v>
      </c>
      <c r="AN95" s="2">
        <v>1628410901585</v>
      </c>
      <c r="AO95" s="2"/>
      <c r="AP95" s="2"/>
      <c r="AQ95" s="2"/>
      <c r="AR95" s="2"/>
      <c r="AS95" s="2">
        <v>37.33350061678447</v>
      </c>
      <c r="AT95" s="2">
        <v>-95.5347401176669</v>
      </c>
      <c r="AU95" s="2" t="s">
        <v>849</v>
      </c>
      <c r="AV95" s="2"/>
      <c r="AW95" s="2">
        <v>1628410905586</v>
      </c>
      <c r="AX95" s="2" t="s">
        <v>806</v>
      </c>
      <c r="AY95" s="2" t="s">
        <v>807</v>
      </c>
      <c r="AZ95" s="2" t="s">
        <v>850</v>
      </c>
      <c r="BA95" s="2" t="s">
        <v>849</v>
      </c>
      <c r="BB95" s="2" t="s">
        <v>189</v>
      </c>
      <c r="BC95" s="2" t="s">
        <v>5</v>
      </c>
      <c r="BD95" s="2" t="s">
        <v>6</v>
      </c>
      <c r="BE95" s="2" t="s">
        <v>151</v>
      </c>
      <c r="BF95" s="2" t="s">
        <v>190</v>
      </c>
      <c r="BG95" s="2" t="s">
        <v>851</v>
      </c>
      <c r="BH95" s="2" t="s">
        <v>852</v>
      </c>
      <c r="BI95" s="2">
        <v>68</v>
      </c>
      <c r="BJ95" s="2">
        <v>8</v>
      </c>
      <c r="BK95" s="2" t="s">
        <v>5</v>
      </c>
      <c r="BL95" s="2">
        <v>8</v>
      </c>
      <c r="BM95" s="2" t="s">
        <v>6</v>
      </c>
      <c r="BN95" s="2" t="s">
        <v>151</v>
      </c>
      <c r="BO95" s="2">
        <v>1628410905586</v>
      </c>
      <c r="BP95" s="2" t="s">
        <v>153</v>
      </c>
      <c r="BQ95" s="2" t="s">
        <v>193</v>
      </c>
      <c r="BR95" s="2" t="s">
        <v>194</v>
      </c>
      <c r="BS95" s="2">
        <v>432031</v>
      </c>
      <c r="BT95" s="2" t="s">
        <v>853</v>
      </c>
      <c r="BU95" s="2" t="s">
        <v>854</v>
      </c>
      <c r="BV95" s="2" t="s">
        <v>152</v>
      </c>
      <c r="BW95" s="2" t="s">
        <v>848</v>
      </c>
      <c r="BX95" s="2">
        <v>1628411341452</v>
      </c>
      <c r="BY95" s="2">
        <v>94</v>
      </c>
      <c r="BZ95" s="2">
        <v>243.13469680577921</v>
      </c>
      <c r="CA95" s="2">
        <v>1628411299614</v>
      </c>
      <c r="CB95" s="2">
        <v>17.979962265698024</v>
      </c>
      <c r="CC95" s="2"/>
      <c r="CD95" s="2" t="s">
        <v>848</v>
      </c>
      <c r="CE95" s="2"/>
      <c r="CF95" s="2">
        <v>37.337683620081776</v>
      </c>
      <c r="CG95" s="2">
        <v>-95.509704042092281</v>
      </c>
      <c r="CH95" s="2" t="s">
        <v>849</v>
      </c>
      <c r="CI95" s="2"/>
      <c r="CJ95" s="2">
        <v>1628411299615</v>
      </c>
      <c r="CK95" s="2" t="s">
        <v>215</v>
      </c>
      <c r="CL95" s="2" t="s">
        <v>216</v>
      </c>
    </row>
    <row r="96" spans="1:90" x14ac:dyDescent="0.25">
      <c r="A96" s="2" t="s">
        <v>171</v>
      </c>
      <c r="B96" s="2"/>
      <c r="C96" s="2" t="s">
        <v>150</v>
      </c>
      <c r="D96" s="2" t="s">
        <v>5</v>
      </c>
      <c r="E96" s="2">
        <v>8</v>
      </c>
      <c r="F96" s="2" t="s">
        <v>6</v>
      </c>
      <c r="G96" s="2" t="s">
        <v>151</v>
      </c>
      <c r="H96" s="2">
        <v>2187.4810000000002</v>
      </c>
      <c r="I96" s="2">
        <v>215</v>
      </c>
      <c r="J96" s="2">
        <v>3386</v>
      </c>
      <c r="K96" s="2">
        <v>3600</v>
      </c>
      <c r="L96" s="2">
        <v>528039</v>
      </c>
      <c r="M96" s="2">
        <v>82006</v>
      </c>
      <c r="N96" s="2">
        <v>446033</v>
      </c>
      <c r="O96" s="2"/>
      <c r="P96" s="2">
        <v>241.89</v>
      </c>
      <c r="Q96" s="2">
        <v>1628410913721</v>
      </c>
      <c r="R96" s="2">
        <v>20.660284498590887</v>
      </c>
      <c r="S96" s="2"/>
      <c r="T96" s="2" t="s">
        <v>855</v>
      </c>
      <c r="U96" s="2"/>
      <c r="V96" s="2">
        <v>37.337052190000001</v>
      </c>
      <c r="W96" s="2">
        <v>-95.510404530000002</v>
      </c>
      <c r="X96" s="2" t="s">
        <v>856</v>
      </c>
      <c r="Y96" s="2"/>
      <c r="Z96" s="2">
        <v>1628410913721</v>
      </c>
      <c r="AA96" s="2">
        <v>239.26164028933351</v>
      </c>
      <c r="AB96" s="2">
        <v>1628411437760</v>
      </c>
      <c r="AC96" s="2">
        <v>17.588364012510649</v>
      </c>
      <c r="AD96" s="2"/>
      <c r="AE96" s="2" t="s">
        <v>855</v>
      </c>
      <c r="AF96" s="2"/>
      <c r="AG96" s="2">
        <v>37.33350061678447</v>
      </c>
      <c r="AH96" s="2">
        <v>-95.5347401176669</v>
      </c>
      <c r="AI96" s="2" t="s">
        <v>856</v>
      </c>
      <c r="AJ96" s="2"/>
      <c r="AK96" s="2">
        <v>1628411441760</v>
      </c>
      <c r="AL96" s="2">
        <v>1</v>
      </c>
      <c r="AM96" s="2">
        <v>242.16689180453045</v>
      </c>
      <c r="AN96" s="2">
        <v>1628410881721</v>
      </c>
      <c r="AO96" s="2"/>
      <c r="AP96" s="2"/>
      <c r="AQ96" s="2"/>
      <c r="AR96" s="2"/>
      <c r="AS96" s="2">
        <v>37.33716243579876</v>
      </c>
      <c r="AT96" s="2">
        <v>-95.51021644856506</v>
      </c>
      <c r="AU96" s="2" t="s">
        <v>856</v>
      </c>
      <c r="AV96" s="2"/>
      <c r="AW96" s="2">
        <v>1628410913721</v>
      </c>
      <c r="AX96" s="2" t="s">
        <v>790</v>
      </c>
      <c r="AY96" s="2" t="s">
        <v>791</v>
      </c>
      <c r="AZ96" s="2" t="s">
        <v>857</v>
      </c>
      <c r="BA96" s="2" t="s">
        <v>856</v>
      </c>
      <c r="BB96" s="2" t="s">
        <v>202</v>
      </c>
      <c r="BC96" s="2" t="s">
        <v>5</v>
      </c>
      <c r="BD96" s="2" t="s">
        <v>6</v>
      </c>
      <c r="BE96" s="2" t="s">
        <v>151</v>
      </c>
      <c r="BF96" s="2" t="s">
        <v>203</v>
      </c>
      <c r="BG96" s="2" t="s">
        <v>858</v>
      </c>
      <c r="BH96" s="2" t="s">
        <v>859</v>
      </c>
      <c r="BI96" s="2">
        <v>83</v>
      </c>
      <c r="BJ96" s="2">
        <v>8</v>
      </c>
      <c r="BK96" s="2" t="s">
        <v>5</v>
      </c>
      <c r="BL96" s="2">
        <v>8</v>
      </c>
      <c r="BM96" s="2" t="s">
        <v>6</v>
      </c>
      <c r="BN96" s="2" t="s">
        <v>151</v>
      </c>
      <c r="BO96" s="2">
        <v>1628410913721</v>
      </c>
      <c r="BP96" s="2" t="s">
        <v>154</v>
      </c>
      <c r="BQ96" s="2" t="s">
        <v>285</v>
      </c>
      <c r="BR96" s="2" t="s">
        <v>286</v>
      </c>
      <c r="BS96" s="2"/>
      <c r="BT96" s="2" t="s">
        <v>860</v>
      </c>
      <c r="BU96" s="2" t="s">
        <v>861</v>
      </c>
      <c r="BV96" s="2" t="s">
        <v>152</v>
      </c>
      <c r="BW96" s="2" t="s">
        <v>855</v>
      </c>
      <c r="BX96" s="2">
        <v>1628411446539</v>
      </c>
      <c r="BY96" s="2">
        <v>95</v>
      </c>
      <c r="BZ96" s="2">
        <v>239.16593305560011</v>
      </c>
      <c r="CA96" s="2">
        <v>1628411355754</v>
      </c>
      <c r="CB96" s="2">
        <v>13.079040868536342</v>
      </c>
      <c r="CC96" s="2"/>
      <c r="CD96" s="2" t="s">
        <v>855</v>
      </c>
      <c r="CE96" s="2"/>
      <c r="CF96" s="2">
        <v>37.334929057483144</v>
      </c>
      <c r="CG96" s="2">
        <v>-95.533759381107643</v>
      </c>
      <c r="CH96" s="2" t="s">
        <v>856</v>
      </c>
      <c r="CI96" s="2"/>
      <c r="CJ96" s="2">
        <v>1628411359754</v>
      </c>
      <c r="CK96" s="2" t="s">
        <v>197</v>
      </c>
      <c r="CL96" s="2" t="s">
        <v>198</v>
      </c>
    </row>
    <row r="97" spans="1:90" x14ac:dyDescent="0.25">
      <c r="A97" s="2" t="s">
        <v>171</v>
      </c>
      <c r="B97" s="2"/>
      <c r="C97" s="2" t="s">
        <v>150</v>
      </c>
      <c r="D97" s="2" t="s">
        <v>5</v>
      </c>
      <c r="E97" s="2">
        <v>8</v>
      </c>
      <c r="F97" s="2" t="s">
        <v>6</v>
      </c>
      <c r="G97" s="2" t="s">
        <v>151</v>
      </c>
      <c r="H97" s="2">
        <v>2181.924</v>
      </c>
      <c r="I97" s="2">
        <v>215</v>
      </c>
      <c r="J97" s="2">
        <v>3365</v>
      </c>
      <c r="K97" s="2">
        <v>3580</v>
      </c>
      <c r="L97" s="2">
        <v>528043</v>
      </c>
      <c r="M97" s="2">
        <v>82006</v>
      </c>
      <c r="N97" s="2">
        <v>446037</v>
      </c>
      <c r="O97" s="2"/>
      <c r="P97" s="2">
        <v>241.86235268889243</v>
      </c>
      <c r="Q97" s="2">
        <v>1628410941064</v>
      </c>
      <c r="R97" s="2">
        <v>5.9933216692653133</v>
      </c>
      <c r="S97" s="2"/>
      <c r="T97" s="2" t="s">
        <v>862</v>
      </c>
      <c r="U97" s="2"/>
      <c r="V97" s="2">
        <v>37.337062984300182</v>
      </c>
      <c r="W97" s="2">
        <v>-95.510470946740526</v>
      </c>
      <c r="X97" s="2" t="s">
        <v>863</v>
      </c>
      <c r="Y97" s="2"/>
      <c r="Z97" s="2">
        <v>1628410919063</v>
      </c>
      <c r="AA97" s="2">
        <v>239.26164028933351</v>
      </c>
      <c r="AB97" s="2">
        <v>1628411443106</v>
      </c>
      <c r="AC97" s="2">
        <v>17.588364012510649</v>
      </c>
      <c r="AD97" s="2"/>
      <c r="AE97" s="2" t="s">
        <v>862</v>
      </c>
      <c r="AF97" s="2"/>
      <c r="AG97" s="2">
        <v>37.33350061678447</v>
      </c>
      <c r="AH97" s="2">
        <v>-95.5347401176669</v>
      </c>
      <c r="AI97" s="2" t="s">
        <v>863</v>
      </c>
      <c r="AJ97" s="2"/>
      <c r="AK97" s="2">
        <v>1628411447106</v>
      </c>
      <c r="AL97" s="2">
        <v>1</v>
      </c>
      <c r="AM97" s="2">
        <v>241.89</v>
      </c>
      <c r="AN97" s="2">
        <v>1628410919063</v>
      </c>
      <c r="AO97" s="2"/>
      <c r="AP97" s="2"/>
      <c r="AQ97" s="2"/>
      <c r="AR97" s="2"/>
      <c r="AS97" s="2">
        <v>37.337052190000001</v>
      </c>
      <c r="AT97" s="2">
        <v>-95.510404530000002</v>
      </c>
      <c r="AU97" s="2" t="s">
        <v>863</v>
      </c>
      <c r="AV97" s="2"/>
      <c r="AW97" s="2">
        <v>1628410919063</v>
      </c>
      <c r="AX97" s="2" t="s">
        <v>790</v>
      </c>
      <c r="AY97" s="2" t="s">
        <v>791</v>
      </c>
      <c r="AZ97" s="2" t="s">
        <v>864</v>
      </c>
      <c r="BA97" s="2" t="s">
        <v>863</v>
      </c>
      <c r="BB97" s="2" t="s">
        <v>202</v>
      </c>
      <c r="BC97" s="2" t="s">
        <v>5</v>
      </c>
      <c r="BD97" s="2" t="s">
        <v>6</v>
      </c>
      <c r="BE97" s="2" t="s">
        <v>151</v>
      </c>
      <c r="BF97" s="2" t="s">
        <v>203</v>
      </c>
      <c r="BG97" s="2" t="s">
        <v>865</v>
      </c>
      <c r="BH97" s="2" t="s">
        <v>866</v>
      </c>
      <c r="BI97" s="2">
        <v>82</v>
      </c>
      <c r="BJ97" s="2">
        <v>8</v>
      </c>
      <c r="BK97" s="2" t="s">
        <v>5</v>
      </c>
      <c r="BL97" s="2">
        <v>8</v>
      </c>
      <c r="BM97" s="2" t="s">
        <v>6</v>
      </c>
      <c r="BN97" s="2" t="s">
        <v>151</v>
      </c>
      <c r="BO97" s="2">
        <v>1628410919063</v>
      </c>
      <c r="BP97" s="2" t="s">
        <v>154</v>
      </c>
      <c r="BQ97" s="2" t="s">
        <v>285</v>
      </c>
      <c r="BR97" s="2" t="s">
        <v>286</v>
      </c>
      <c r="BS97" s="2"/>
      <c r="BT97" s="2" t="s">
        <v>867</v>
      </c>
      <c r="BU97" s="2" t="s">
        <v>868</v>
      </c>
      <c r="BV97" s="2" t="s">
        <v>152</v>
      </c>
      <c r="BW97" s="2" t="s">
        <v>862</v>
      </c>
      <c r="BX97" s="2">
        <v>1628411449852</v>
      </c>
      <c r="BY97" s="2">
        <v>96</v>
      </c>
      <c r="BZ97" s="2">
        <v>239.16593305560011</v>
      </c>
      <c r="CA97" s="2">
        <v>1628411361100</v>
      </c>
      <c r="CB97" s="2">
        <v>13.079040868536342</v>
      </c>
      <c r="CC97" s="2"/>
      <c r="CD97" s="2" t="s">
        <v>862</v>
      </c>
      <c r="CE97" s="2"/>
      <c r="CF97" s="2">
        <v>37.334929057483144</v>
      </c>
      <c r="CG97" s="2">
        <v>-95.533759381107643</v>
      </c>
      <c r="CH97" s="2" t="s">
        <v>863</v>
      </c>
      <c r="CI97" s="2"/>
      <c r="CJ97" s="2">
        <v>1628411365100</v>
      </c>
      <c r="CK97" s="2" t="s">
        <v>197</v>
      </c>
      <c r="CL97" s="2" t="s">
        <v>198</v>
      </c>
    </row>
    <row r="98" spans="1:90" x14ac:dyDescent="0.25">
      <c r="A98" s="2" t="s">
        <v>171</v>
      </c>
      <c r="B98" s="2"/>
      <c r="C98" s="2" t="s">
        <v>150</v>
      </c>
      <c r="D98" s="2" t="s">
        <v>5</v>
      </c>
      <c r="E98" s="2">
        <v>8</v>
      </c>
      <c r="F98" s="2" t="s">
        <v>6</v>
      </c>
      <c r="G98" s="2" t="s">
        <v>151</v>
      </c>
      <c r="H98" s="2">
        <v>5.9930000000000003</v>
      </c>
      <c r="I98" s="2">
        <v>5486</v>
      </c>
      <c r="J98" s="2">
        <v>3972</v>
      </c>
      <c r="K98" s="2">
        <v>9458</v>
      </c>
      <c r="L98" s="2">
        <v>1317910</v>
      </c>
      <c r="M98" s="2">
        <v>728864</v>
      </c>
      <c r="N98" s="2">
        <v>589046</v>
      </c>
      <c r="O98" s="2"/>
      <c r="P98" s="2">
        <v>228.97031903579912</v>
      </c>
      <c r="Q98" s="2">
        <v>1628410948483</v>
      </c>
      <c r="R98" s="2">
        <v>5.9933231285255033</v>
      </c>
      <c r="S98" s="2"/>
      <c r="T98" s="2" t="s">
        <v>869</v>
      </c>
      <c r="U98" s="2"/>
      <c r="V98" s="2">
        <v>37.352397740086253</v>
      </c>
      <c r="W98" s="2">
        <v>-95.53001603980772</v>
      </c>
      <c r="X98" s="2" t="s">
        <v>870</v>
      </c>
      <c r="Y98" s="2"/>
      <c r="Z98" s="2">
        <v>1628410926483</v>
      </c>
      <c r="AA98" s="2">
        <v>229.08</v>
      </c>
      <c r="AB98" s="2">
        <v>1628412257581</v>
      </c>
      <c r="AC98" s="2">
        <v>19.490436119372024</v>
      </c>
      <c r="AD98" s="2"/>
      <c r="AE98" s="2" t="s">
        <v>869</v>
      </c>
      <c r="AF98" s="2"/>
      <c r="AG98" s="2">
        <v>37.352451629999997</v>
      </c>
      <c r="AH98" s="2">
        <v>-95.530015809999995</v>
      </c>
      <c r="AI98" s="2" t="s">
        <v>870</v>
      </c>
      <c r="AJ98" s="2"/>
      <c r="AK98" s="2">
        <v>1628412244393</v>
      </c>
      <c r="AL98" s="2">
        <v>1</v>
      </c>
      <c r="AM98" s="2">
        <v>229.08</v>
      </c>
      <c r="AN98" s="2">
        <v>1628410926483</v>
      </c>
      <c r="AO98" s="2"/>
      <c r="AP98" s="2"/>
      <c r="AQ98" s="2"/>
      <c r="AR98" s="2"/>
      <c r="AS98" s="2">
        <v>37.352451629999997</v>
      </c>
      <c r="AT98" s="2">
        <v>-95.530015809999995</v>
      </c>
      <c r="AU98" s="2" t="s">
        <v>870</v>
      </c>
      <c r="AV98" s="2"/>
      <c r="AW98" s="2">
        <v>1628410926483</v>
      </c>
      <c r="AX98" s="2" t="s">
        <v>781</v>
      </c>
      <c r="AY98" s="2" t="s">
        <v>782</v>
      </c>
      <c r="AZ98" s="2" t="s">
        <v>871</v>
      </c>
      <c r="BA98" s="2" t="s">
        <v>870</v>
      </c>
      <c r="BB98" s="2" t="s">
        <v>175</v>
      </c>
      <c r="BC98" s="2" t="s">
        <v>5</v>
      </c>
      <c r="BD98" s="2" t="s">
        <v>6</v>
      </c>
      <c r="BE98" s="2" t="s">
        <v>151</v>
      </c>
      <c r="BF98" s="2" t="s">
        <v>176</v>
      </c>
      <c r="BG98" s="2" t="s">
        <v>872</v>
      </c>
      <c r="BH98" s="2" t="s">
        <v>873</v>
      </c>
      <c r="BI98" s="2">
        <v>209</v>
      </c>
      <c r="BJ98" s="2">
        <v>8</v>
      </c>
      <c r="BK98" s="2" t="s">
        <v>5</v>
      </c>
      <c r="BL98" s="2">
        <v>8</v>
      </c>
      <c r="BM98" s="2" t="s">
        <v>6</v>
      </c>
      <c r="BN98" s="2" t="s">
        <v>151</v>
      </c>
      <c r="BO98" s="2">
        <v>1628410926483</v>
      </c>
      <c r="BP98" s="2" t="s">
        <v>154</v>
      </c>
      <c r="BQ98" s="2" t="s">
        <v>180</v>
      </c>
      <c r="BR98" s="2" t="s">
        <v>181</v>
      </c>
      <c r="BS98" s="2"/>
      <c r="BT98" s="2" t="s">
        <v>874</v>
      </c>
      <c r="BU98" s="2" t="s">
        <v>875</v>
      </c>
      <c r="BV98" s="2" t="s">
        <v>152</v>
      </c>
      <c r="BW98" s="2" t="s">
        <v>869</v>
      </c>
      <c r="BX98" s="2">
        <v>1628412250041</v>
      </c>
      <c r="BY98" s="2">
        <v>97</v>
      </c>
      <c r="BZ98" s="2">
        <v>242.50987153952423</v>
      </c>
      <c r="CA98" s="2">
        <v>1628411509528</v>
      </c>
      <c r="CB98" s="2">
        <v>16.669682940510167</v>
      </c>
      <c r="CC98" s="2"/>
      <c r="CD98" s="2" t="s">
        <v>869</v>
      </c>
      <c r="CE98" s="2"/>
      <c r="CF98" s="2">
        <v>37.33773321738628</v>
      </c>
      <c r="CG98" s="2">
        <v>-95.510704686381203</v>
      </c>
      <c r="CH98" s="2" t="s">
        <v>870</v>
      </c>
      <c r="CI98" s="2"/>
      <c r="CJ98" s="2">
        <v>1628411515529</v>
      </c>
      <c r="CK98" s="2" t="s">
        <v>184</v>
      </c>
      <c r="CL98" s="2" t="s">
        <v>185</v>
      </c>
    </row>
    <row r="99" spans="1:90" x14ac:dyDescent="0.25">
      <c r="A99" s="2" t="s">
        <v>171</v>
      </c>
      <c r="B99" s="2">
        <v>1628411360022</v>
      </c>
      <c r="C99" s="2" t="s">
        <v>150</v>
      </c>
      <c r="D99" s="2" t="s">
        <v>5</v>
      </c>
      <c r="E99" s="2">
        <v>8</v>
      </c>
      <c r="F99" s="2" t="s">
        <v>6</v>
      </c>
      <c r="G99" s="2" t="s">
        <v>151</v>
      </c>
      <c r="H99" s="2">
        <v>2207.36</v>
      </c>
      <c r="I99" s="2">
        <v>96</v>
      </c>
      <c r="J99" s="2">
        <v>3236</v>
      </c>
      <c r="K99" s="2">
        <v>3332</v>
      </c>
      <c r="L99" s="2">
        <v>432043</v>
      </c>
      <c r="M99" s="2">
        <v>38002</v>
      </c>
      <c r="N99" s="2">
        <v>394041</v>
      </c>
      <c r="O99" s="2">
        <v>1628411360022</v>
      </c>
      <c r="P99" s="2">
        <v>239.69709878161069</v>
      </c>
      <c r="Q99" s="2">
        <v>1628410949979</v>
      </c>
      <c r="R99" s="2">
        <v>17.528697535194254</v>
      </c>
      <c r="S99" s="2"/>
      <c r="T99" s="2" t="s">
        <v>876</v>
      </c>
      <c r="U99" s="2"/>
      <c r="V99" s="2">
        <v>37.333344082771653</v>
      </c>
      <c r="W99" s="2">
        <v>-95.534717204015976</v>
      </c>
      <c r="X99" s="2" t="s">
        <v>877</v>
      </c>
      <c r="Y99" s="2"/>
      <c r="Z99" s="2">
        <v>1628410927979</v>
      </c>
      <c r="AA99" s="2">
        <v>242.16689180453045</v>
      </c>
      <c r="AB99" s="2">
        <v>1628411358022</v>
      </c>
      <c r="AC99" s="2">
        <v>19.859073386652835</v>
      </c>
      <c r="AD99" s="2"/>
      <c r="AE99" s="2" t="s">
        <v>876</v>
      </c>
      <c r="AF99" s="2"/>
      <c r="AG99" s="2">
        <v>37.33716243579876</v>
      </c>
      <c r="AH99" s="2">
        <v>-95.51021644856506</v>
      </c>
      <c r="AI99" s="2" t="s">
        <v>877</v>
      </c>
      <c r="AJ99" s="2"/>
      <c r="AK99" s="2">
        <v>1628411360022</v>
      </c>
      <c r="AL99" s="2">
        <v>1</v>
      </c>
      <c r="AM99" s="2">
        <v>239.26164028933351</v>
      </c>
      <c r="AN99" s="2">
        <v>1628410923978</v>
      </c>
      <c r="AO99" s="2"/>
      <c r="AP99" s="2"/>
      <c r="AQ99" s="2"/>
      <c r="AR99" s="2"/>
      <c r="AS99" s="2">
        <v>37.33350061678447</v>
      </c>
      <c r="AT99" s="2">
        <v>-95.5347401176669</v>
      </c>
      <c r="AU99" s="2" t="s">
        <v>877</v>
      </c>
      <c r="AV99" s="2"/>
      <c r="AW99" s="2">
        <v>1628410927979</v>
      </c>
      <c r="AX99" s="2" t="s">
        <v>806</v>
      </c>
      <c r="AY99" s="2" t="s">
        <v>807</v>
      </c>
      <c r="AZ99" s="2" t="s">
        <v>878</v>
      </c>
      <c r="BA99" s="2" t="s">
        <v>877</v>
      </c>
      <c r="BB99" s="2" t="s">
        <v>189</v>
      </c>
      <c r="BC99" s="2" t="s">
        <v>5</v>
      </c>
      <c r="BD99" s="2" t="s">
        <v>6</v>
      </c>
      <c r="BE99" s="2" t="s">
        <v>151</v>
      </c>
      <c r="BF99" s="2" t="s">
        <v>190</v>
      </c>
      <c r="BG99" s="2" t="s">
        <v>879</v>
      </c>
      <c r="BH99" s="2" t="s">
        <v>880</v>
      </c>
      <c r="BI99" s="2">
        <v>68</v>
      </c>
      <c r="BJ99" s="2">
        <v>8</v>
      </c>
      <c r="BK99" s="2" t="s">
        <v>5</v>
      </c>
      <c r="BL99" s="2">
        <v>8</v>
      </c>
      <c r="BM99" s="2" t="s">
        <v>6</v>
      </c>
      <c r="BN99" s="2" t="s">
        <v>151</v>
      </c>
      <c r="BO99" s="2">
        <v>1628410927979</v>
      </c>
      <c r="BP99" s="2" t="s">
        <v>153</v>
      </c>
      <c r="BQ99" s="2" t="s">
        <v>193</v>
      </c>
      <c r="BR99" s="2" t="s">
        <v>194</v>
      </c>
      <c r="BS99" s="2">
        <v>432043</v>
      </c>
      <c r="BT99" s="2" t="s">
        <v>881</v>
      </c>
      <c r="BU99" s="2" t="s">
        <v>882</v>
      </c>
      <c r="BV99" s="2" t="s">
        <v>152</v>
      </c>
      <c r="BW99" s="2" t="s">
        <v>876</v>
      </c>
      <c r="BX99" s="2">
        <v>1628411368097</v>
      </c>
      <c r="BY99" s="2">
        <v>98</v>
      </c>
      <c r="BZ99" s="2">
        <v>243.13469680577921</v>
      </c>
      <c r="CA99" s="2">
        <v>1628411322020</v>
      </c>
      <c r="CB99" s="2">
        <v>17.979962265698024</v>
      </c>
      <c r="CC99" s="2"/>
      <c r="CD99" s="2" t="s">
        <v>876</v>
      </c>
      <c r="CE99" s="2"/>
      <c r="CF99" s="2">
        <v>37.337683620081776</v>
      </c>
      <c r="CG99" s="2">
        <v>-95.509704042092281</v>
      </c>
      <c r="CH99" s="2" t="s">
        <v>877</v>
      </c>
      <c r="CI99" s="2"/>
      <c r="CJ99" s="2">
        <v>1628411322020</v>
      </c>
      <c r="CK99" s="2" t="s">
        <v>215</v>
      </c>
      <c r="CL99" s="2" t="s">
        <v>216</v>
      </c>
    </row>
    <row r="100" spans="1:90" x14ac:dyDescent="0.25">
      <c r="A100" s="2" t="s">
        <v>171</v>
      </c>
      <c r="B100" s="2"/>
      <c r="C100" s="2" t="s">
        <v>150</v>
      </c>
      <c r="D100" s="2" t="s">
        <v>5</v>
      </c>
      <c r="E100" s="2">
        <v>8</v>
      </c>
      <c r="F100" s="2" t="s">
        <v>6</v>
      </c>
      <c r="G100" s="2" t="s">
        <v>151</v>
      </c>
      <c r="H100" s="2">
        <v>19.489999999999998</v>
      </c>
      <c r="I100" s="2">
        <v>5467</v>
      </c>
      <c r="J100" s="2">
        <v>3991</v>
      </c>
      <c r="K100" s="2">
        <v>9458</v>
      </c>
      <c r="L100" s="2">
        <v>1298862</v>
      </c>
      <c r="M100" s="2">
        <v>709818</v>
      </c>
      <c r="N100" s="2">
        <v>589044</v>
      </c>
      <c r="O100" s="2"/>
      <c r="P100" s="2">
        <v>229.08</v>
      </c>
      <c r="Q100" s="2">
        <v>1628410930722</v>
      </c>
      <c r="R100" s="2">
        <v>19.490436119372024</v>
      </c>
      <c r="S100" s="2"/>
      <c r="T100" s="2" t="s">
        <v>883</v>
      </c>
      <c r="U100" s="2"/>
      <c r="V100" s="2">
        <v>37.352451629999997</v>
      </c>
      <c r="W100" s="2">
        <v>-95.530015809999995</v>
      </c>
      <c r="X100" s="2" t="s">
        <v>884</v>
      </c>
      <c r="Y100" s="2"/>
      <c r="Z100" s="2">
        <v>1628410930722</v>
      </c>
      <c r="AA100" s="2">
        <v>232.04981030064999</v>
      </c>
      <c r="AB100" s="2">
        <v>1628412227821</v>
      </c>
      <c r="AC100" s="2">
        <v>16.814136354419173</v>
      </c>
      <c r="AD100" s="2"/>
      <c r="AE100" s="2" t="s">
        <v>883</v>
      </c>
      <c r="AF100" s="2"/>
      <c r="AG100" s="2">
        <v>37.352449871446879</v>
      </c>
      <c r="AH100" s="2">
        <v>-95.529797893254525</v>
      </c>
      <c r="AI100" s="2" t="s">
        <v>884</v>
      </c>
      <c r="AJ100" s="2"/>
      <c r="AK100" s="2">
        <v>1628412229584</v>
      </c>
      <c r="AL100" s="2">
        <v>1</v>
      </c>
      <c r="AM100" s="2">
        <v>232.04981030064999</v>
      </c>
      <c r="AN100" s="2">
        <v>1628410896722</v>
      </c>
      <c r="AO100" s="2"/>
      <c r="AP100" s="2"/>
      <c r="AQ100" s="2"/>
      <c r="AR100" s="2"/>
      <c r="AS100" s="2">
        <v>37.352449871446879</v>
      </c>
      <c r="AT100" s="2">
        <v>-95.529797893254525</v>
      </c>
      <c r="AU100" s="2" t="s">
        <v>884</v>
      </c>
      <c r="AV100" s="2"/>
      <c r="AW100" s="2">
        <v>1628410930722</v>
      </c>
      <c r="AX100" s="2" t="s">
        <v>781</v>
      </c>
      <c r="AY100" s="2" t="s">
        <v>782</v>
      </c>
      <c r="AZ100" s="2" t="s">
        <v>885</v>
      </c>
      <c r="BA100" s="2" t="s">
        <v>884</v>
      </c>
      <c r="BB100" s="2" t="s">
        <v>175</v>
      </c>
      <c r="BC100" s="2" t="s">
        <v>5</v>
      </c>
      <c r="BD100" s="2" t="s">
        <v>6</v>
      </c>
      <c r="BE100" s="2" t="s">
        <v>151</v>
      </c>
      <c r="BF100" s="2" t="s">
        <v>176</v>
      </c>
      <c r="BG100" s="2" t="s">
        <v>886</v>
      </c>
      <c r="BH100" s="2" t="s">
        <v>887</v>
      </c>
      <c r="BI100" s="2">
        <v>209</v>
      </c>
      <c r="BJ100" s="2">
        <v>8</v>
      </c>
      <c r="BK100" s="2" t="s">
        <v>5</v>
      </c>
      <c r="BL100" s="2">
        <v>8</v>
      </c>
      <c r="BM100" s="2" t="s">
        <v>6</v>
      </c>
      <c r="BN100" s="2" t="s">
        <v>151</v>
      </c>
      <c r="BO100" s="2">
        <v>1628410930722</v>
      </c>
      <c r="BP100" s="2" t="s">
        <v>154</v>
      </c>
      <c r="BQ100" s="2" t="s">
        <v>180</v>
      </c>
      <c r="BR100" s="2" t="s">
        <v>181</v>
      </c>
      <c r="BS100" s="2"/>
      <c r="BT100" s="2" t="s">
        <v>888</v>
      </c>
      <c r="BU100" s="2" t="s">
        <v>889</v>
      </c>
      <c r="BV100" s="2" t="s">
        <v>152</v>
      </c>
      <c r="BW100" s="2" t="s">
        <v>883</v>
      </c>
      <c r="BX100" s="2">
        <v>1628412230808</v>
      </c>
      <c r="BY100" s="2">
        <v>99</v>
      </c>
      <c r="BZ100" s="2">
        <v>242.77948617209961</v>
      </c>
      <c r="CA100" s="2">
        <v>1628411519766</v>
      </c>
      <c r="CB100" s="2">
        <v>17.979967860278595</v>
      </c>
      <c r="CC100" s="2"/>
      <c r="CD100" s="2" t="s">
        <v>883</v>
      </c>
      <c r="CE100" s="2"/>
      <c r="CF100" s="2">
        <v>37.337744999545727</v>
      </c>
      <c r="CG100" s="2">
        <v>-95.510501875514194</v>
      </c>
      <c r="CH100" s="2" t="s">
        <v>884</v>
      </c>
      <c r="CI100" s="2"/>
      <c r="CJ100" s="2">
        <v>1628411519766</v>
      </c>
      <c r="CK100" s="2" t="s">
        <v>184</v>
      </c>
      <c r="CL100" s="2" t="s">
        <v>185</v>
      </c>
    </row>
    <row r="101" spans="1:90" x14ac:dyDescent="0.25">
      <c r="A101" s="2" t="s">
        <v>171</v>
      </c>
      <c r="B101" s="2"/>
      <c r="C101" s="2" t="s">
        <v>150</v>
      </c>
      <c r="D101" s="2" t="s">
        <v>5</v>
      </c>
      <c r="E101" s="2">
        <v>8</v>
      </c>
      <c r="F101" s="2" t="s">
        <v>6</v>
      </c>
      <c r="G101" s="2" t="s">
        <v>151</v>
      </c>
      <c r="H101" s="2">
        <v>0</v>
      </c>
      <c r="I101" s="2">
        <v>5486</v>
      </c>
      <c r="J101" s="2">
        <v>3991</v>
      </c>
      <c r="K101" s="2">
        <v>9477</v>
      </c>
      <c r="L101" s="2">
        <v>1241673</v>
      </c>
      <c r="M101" s="2">
        <v>652632</v>
      </c>
      <c r="N101" s="2">
        <v>589041</v>
      </c>
      <c r="O101" s="2"/>
      <c r="P101" s="2">
        <v>229.08</v>
      </c>
      <c r="Q101" s="2">
        <v>1628410944270</v>
      </c>
      <c r="R101" s="2">
        <v>19.490436119372024</v>
      </c>
      <c r="S101" s="2"/>
      <c r="T101" s="2" t="s">
        <v>890</v>
      </c>
      <c r="U101" s="2"/>
      <c r="V101" s="2">
        <v>37.352451629999997</v>
      </c>
      <c r="W101" s="2">
        <v>-95.530015809999995</v>
      </c>
      <c r="X101" s="2" t="s">
        <v>891</v>
      </c>
      <c r="Y101" s="2"/>
      <c r="Z101" s="2">
        <v>1628410944270</v>
      </c>
      <c r="AA101" s="2">
        <v>229.08</v>
      </c>
      <c r="AB101" s="2">
        <v>1628412275372</v>
      </c>
      <c r="AC101" s="2">
        <v>19.490436119372024</v>
      </c>
      <c r="AD101" s="2"/>
      <c r="AE101" s="2" t="s">
        <v>890</v>
      </c>
      <c r="AF101" s="2"/>
      <c r="AG101" s="2">
        <v>37.352451629999997</v>
      </c>
      <c r="AH101" s="2">
        <v>-95.530015809999995</v>
      </c>
      <c r="AI101" s="2" t="s">
        <v>891</v>
      </c>
      <c r="AJ101" s="2"/>
      <c r="AK101" s="2">
        <v>1628412185943</v>
      </c>
      <c r="AL101" s="2">
        <v>1</v>
      </c>
      <c r="AM101" s="2">
        <v>232.04981030064999</v>
      </c>
      <c r="AN101" s="2">
        <v>1628410910269</v>
      </c>
      <c r="AO101" s="2"/>
      <c r="AP101" s="2"/>
      <c r="AQ101" s="2"/>
      <c r="AR101" s="2"/>
      <c r="AS101" s="2">
        <v>37.352449871446879</v>
      </c>
      <c r="AT101" s="2">
        <v>-95.529797893254525</v>
      </c>
      <c r="AU101" s="2" t="s">
        <v>891</v>
      </c>
      <c r="AV101" s="2"/>
      <c r="AW101" s="2">
        <v>1628410944270</v>
      </c>
      <c r="AX101" s="2" t="s">
        <v>781</v>
      </c>
      <c r="AY101" s="2" t="s">
        <v>782</v>
      </c>
      <c r="AZ101" s="2" t="s">
        <v>892</v>
      </c>
      <c r="BA101" s="2" t="s">
        <v>891</v>
      </c>
      <c r="BB101" s="2" t="s">
        <v>175</v>
      </c>
      <c r="BC101" s="2" t="s">
        <v>5</v>
      </c>
      <c r="BD101" s="2" t="s">
        <v>6</v>
      </c>
      <c r="BE101" s="2" t="s">
        <v>151</v>
      </c>
      <c r="BF101" s="2" t="s">
        <v>176</v>
      </c>
      <c r="BG101" s="2" t="s">
        <v>893</v>
      </c>
      <c r="BH101" s="2" t="s">
        <v>894</v>
      </c>
      <c r="BI101" s="2">
        <v>210</v>
      </c>
      <c r="BJ101" s="2">
        <v>8</v>
      </c>
      <c r="BK101" s="2" t="s">
        <v>5</v>
      </c>
      <c r="BL101" s="2">
        <v>8</v>
      </c>
      <c r="BM101" s="2" t="s">
        <v>6</v>
      </c>
      <c r="BN101" s="2" t="s">
        <v>151</v>
      </c>
      <c r="BO101" s="2">
        <v>1628410944270</v>
      </c>
      <c r="BP101" s="2" t="s">
        <v>154</v>
      </c>
      <c r="BQ101" s="2" t="s">
        <v>180</v>
      </c>
      <c r="BR101" s="2" t="s">
        <v>181</v>
      </c>
      <c r="BS101" s="2"/>
      <c r="BT101" s="2" t="s">
        <v>895</v>
      </c>
      <c r="BU101" s="2" t="s">
        <v>896</v>
      </c>
      <c r="BV101" s="2" t="s">
        <v>152</v>
      </c>
      <c r="BW101" s="2" t="s">
        <v>890</v>
      </c>
      <c r="BX101" s="2">
        <v>1628412192432</v>
      </c>
      <c r="BY101" s="2">
        <v>100</v>
      </c>
      <c r="BZ101" s="2">
        <v>242.50987153952423</v>
      </c>
      <c r="CA101" s="2">
        <v>1628411527310</v>
      </c>
      <c r="CB101" s="2">
        <v>16.669682940510167</v>
      </c>
      <c r="CC101" s="2"/>
      <c r="CD101" s="2" t="s">
        <v>890</v>
      </c>
      <c r="CE101" s="2"/>
      <c r="CF101" s="2">
        <v>37.33773321738628</v>
      </c>
      <c r="CG101" s="2">
        <v>-95.510704686381203</v>
      </c>
      <c r="CH101" s="2" t="s">
        <v>891</v>
      </c>
      <c r="CI101" s="2"/>
      <c r="CJ101" s="2">
        <v>1628411533311</v>
      </c>
      <c r="CK101" s="2" t="s">
        <v>184</v>
      </c>
      <c r="CL101" s="2" t="s">
        <v>185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60316-AFFE-4A08-A547-77197C0285EC}">
  <sheetPr codeName="Sheet9"/>
  <dimension ref="A1:K116"/>
  <sheetViews>
    <sheetView workbookViewId="0">
      <selection activeCell="A15" sqref="A15:XFD15"/>
    </sheetView>
  </sheetViews>
  <sheetFormatPr defaultRowHeight="15" x14ac:dyDescent="0.25"/>
  <cols>
    <col min="1" max="1" width="14" bestFit="1" customWidth="1"/>
    <col min="2" max="2" width="13.42578125" bestFit="1" customWidth="1"/>
    <col min="3" max="3" width="19.28515625" bestFit="1" customWidth="1"/>
    <col min="4" max="4" width="18.28515625" bestFit="1" customWidth="1"/>
    <col min="5" max="5" width="36.7109375" bestFit="1" customWidth="1"/>
    <col min="6" max="6" width="17.5703125" bestFit="1" customWidth="1"/>
    <col min="7" max="7" width="14" bestFit="1" customWidth="1"/>
    <col min="8" max="8" width="14.42578125" bestFit="1" customWidth="1"/>
    <col min="9" max="9" width="64" bestFit="1" customWidth="1"/>
    <col min="10" max="10" width="19.5703125" bestFit="1" customWidth="1"/>
    <col min="11" max="11" width="16.28515625" bestFit="1" customWidth="1"/>
  </cols>
  <sheetData>
    <row r="1" spans="1:11" x14ac:dyDescent="0.25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</row>
    <row r="2" spans="1:11" x14ac:dyDescent="0.25">
      <c r="A2">
        <v>242.90379180037081</v>
      </c>
      <c r="B2">
        <v>1628411376801</v>
      </c>
      <c r="C2">
        <v>8.2264690714642867</v>
      </c>
      <c r="E2" t="s">
        <v>737</v>
      </c>
      <c r="G2">
        <v>37.337784975899019</v>
      </c>
      <c r="H2">
        <v>-95.510423591244475</v>
      </c>
      <c r="I2" t="s">
        <v>738</v>
      </c>
      <c r="K2" t="s">
        <v>169</v>
      </c>
    </row>
    <row r="3" spans="1:11" x14ac:dyDescent="0.25">
      <c r="A3" s="2">
        <v>243.15516726507909</v>
      </c>
      <c r="B3" s="2">
        <v>1628411382801</v>
      </c>
      <c r="C3" s="2">
        <v>17.979974156448709</v>
      </c>
      <c r="D3" s="2"/>
      <c r="E3" s="2" t="s">
        <v>737</v>
      </c>
      <c r="F3" s="2"/>
      <c r="G3" s="2">
        <v>37.33789959362506</v>
      </c>
      <c r="H3" s="2">
        <v>-95.510280164941605</v>
      </c>
      <c r="I3" s="2" t="s">
        <v>738</v>
      </c>
      <c r="J3" s="2"/>
      <c r="K3" s="2" t="s">
        <v>169</v>
      </c>
    </row>
    <row r="4" spans="1:11" x14ac:dyDescent="0.25">
      <c r="A4" s="2">
        <v>243.36550491893496</v>
      </c>
      <c r="B4" s="2">
        <v>1628411388802</v>
      </c>
      <c r="C4" s="2">
        <v>19.448644929628809</v>
      </c>
      <c r="D4" s="2"/>
      <c r="E4" s="2" t="s">
        <v>737</v>
      </c>
      <c r="F4" s="2"/>
      <c r="G4" s="2">
        <v>37.338004747282717</v>
      </c>
      <c r="H4" s="2">
        <v>-95.51010438959328</v>
      </c>
      <c r="I4" s="2" t="s">
        <v>738</v>
      </c>
      <c r="J4" s="2"/>
      <c r="K4" s="2" t="s">
        <v>169</v>
      </c>
    </row>
    <row r="5" spans="1:11" x14ac:dyDescent="0.25">
      <c r="A5" s="2">
        <v>243.41201968491879</v>
      </c>
      <c r="B5" s="2">
        <v>1628411394802</v>
      </c>
      <c r="C5" s="2">
        <v>17.979995256644617</v>
      </c>
      <c r="D5" s="2"/>
      <c r="E5" s="2" t="s">
        <v>737</v>
      </c>
      <c r="F5" s="2"/>
      <c r="G5" s="2">
        <v>37.338053699140538</v>
      </c>
      <c r="H5" s="2">
        <v>-95.509910558334795</v>
      </c>
      <c r="I5" s="2" t="s">
        <v>738</v>
      </c>
      <c r="J5" s="2"/>
      <c r="K5" s="2" t="s">
        <v>169</v>
      </c>
    </row>
    <row r="6" spans="1:11" x14ac:dyDescent="0.25">
      <c r="A6" s="2">
        <v>243.45853446467149</v>
      </c>
      <c r="B6" s="2">
        <v>1628411400803</v>
      </c>
      <c r="C6" s="2">
        <v>17.979989933492178</v>
      </c>
      <c r="D6" s="2"/>
      <c r="E6" s="2" t="s">
        <v>737</v>
      </c>
      <c r="F6" s="2"/>
      <c r="G6" s="2">
        <v>37.338102651012839</v>
      </c>
      <c r="H6" s="2">
        <v>-95.50971672701894</v>
      </c>
      <c r="I6" s="2" t="s">
        <v>738</v>
      </c>
      <c r="J6" s="2"/>
      <c r="K6" s="2" t="s">
        <v>169</v>
      </c>
    </row>
    <row r="7" spans="1:11" x14ac:dyDescent="0.25">
      <c r="A7" s="2">
        <v>243.50504925819297</v>
      </c>
      <c r="B7" s="2">
        <v>1628411406804</v>
      </c>
      <c r="C7" s="2">
        <v>17.979984610319004</v>
      </c>
      <c r="D7" s="2"/>
      <c r="E7" s="2" t="s">
        <v>737</v>
      </c>
      <c r="F7" s="2"/>
      <c r="G7" s="2">
        <v>37.338151602899629</v>
      </c>
      <c r="H7" s="2">
        <v>-95.509522895645716</v>
      </c>
      <c r="I7" s="2" t="s">
        <v>738</v>
      </c>
      <c r="J7" s="2"/>
      <c r="K7" s="2" t="s">
        <v>169</v>
      </c>
    </row>
    <row r="8" spans="1:11" x14ac:dyDescent="0.25">
      <c r="A8" s="2">
        <v>243.55156406548323</v>
      </c>
      <c r="B8" s="2">
        <v>1628411412804</v>
      </c>
      <c r="C8" s="2">
        <v>17.97997928948314</v>
      </c>
      <c r="D8" s="2"/>
      <c r="E8" s="2" t="s">
        <v>737</v>
      </c>
      <c r="F8" s="2"/>
      <c r="G8" s="2">
        <v>37.33820055480092</v>
      </c>
      <c r="H8" s="2">
        <v>-95.509329064215123</v>
      </c>
      <c r="I8" s="2" t="s">
        <v>738</v>
      </c>
      <c r="J8" s="2"/>
      <c r="K8" s="2" t="s">
        <v>169</v>
      </c>
    </row>
    <row r="9" spans="1:11" x14ac:dyDescent="0.25">
      <c r="A9" s="2">
        <v>243.59807888654291</v>
      </c>
      <c r="B9" s="2">
        <v>1628411418804</v>
      </c>
      <c r="C9" s="2">
        <v>17.979973964982403</v>
      </c>
      <c r="D9" s="2"/>
      <c r="E9" s="2" t="s">
        <v>737</v>
      </c>
      <c r="F9" s="2"/>
      <c r="G9" s="2">
        <v>37.338249506716693</v>
      </c>
      <c r="H9" s="2">
        <v>-95.509135232727161</v>
      </c>
      <c r="I9" s="2" t="s">
        <v>738</v>
      </c>
      <c r="J9" s="2"/>
      <c r="K9" s="2" t="s">
        <v>169</v>
      </c>
    </row>
    <row r="10" spans="1:11" x14ac:dyDescent="0.25">
      <c r="A10" s="2">
        <v>243.64459372137017</v>
      </c>
      <c r="B10" s="2">
        <v>1628411424805</v>
      </c>
      <c r="C10" s="2">
        <v>17.979968644748752</v>
      </c>
      <c r="D10" s="2"/>
      <c r="E10" s="2" t="s">
        <v>737</v>
      </c>
      <c r="F10" s="2"/>
      <c r="G10" s="2">
        <v>37.338298458646953</v>
      </c>
      <c r="H10" s="2">
        <v>-95.508941401181801</v>
      </c>
      <c r="I10" s="2" t="s">
        <v>738</v>
      </c>
      <c r="J10" s="2"/>
      <c r="K10" s="2" t="s">
        <v>169</v>
      </c>
    </row>
    <row r="11" spans="1:11" x14ac:dyDescent="0.25">
      <c r="A11" s="2">
        <v>243.63820202562999</v>
      </c>
      <c r="B11" s="2">
        <v>1628411430805</v>
      </c>
      <c r="C11" s="2">
        <v>24.740549578527904</v>
      </c>
      <c r="D11" s="2"/>
      <c r="E11" s="2" t="s">
        <v>737</v>
      </c>
      <c r="F11" s="2"/>
      <c r="G11" s="2">
        <v>37.338416659455262</v>
      </c>
      <c r="H11" s="2">
        <v>-95.508704310162017</v>
      </c>
      <c r="I11" s="2" t="s">
        <v>738</v>
      </c>
      <c r="J11" s="2"/>
      <c r="K11" s="2" t="s">
        <v>169</v>
      </c>
    </row>
    <row r="12" spans="1:11" x14ac:dyDescent="0.25">
      <c r="A12" s="2">
        <v>244.08551665368799</v>
      </c>
      <c r="B12" s="2">
        <v>1628411436806</v>
      </c>
      <c r="C12" s="2">
        <v>35.584304879728229</v>
      </c>
      <c r="D12" s="2"/>
      <c r="E12" s="2" t="s">
        <v>737</v>
      </c>
      <c r="F12" s="2"/>
      <c r="G12" s="2">
        <v>37.338725545990442</v>
      </c>
      <c r="H12" s="2">
        <v>-95.508599198705156</v>
      </c>
      <c r="I12" s="2" t="s">
        <v>738</v>
      </c>
      <c r="J12" s="2"/>
      <c r="K12" s="2" t="s">
        <v>169</v>
      </c>
    </row>
    <row r="13" spans="1:11" x14ac:dyDescent="0.25">
      <c r="A13" s="2">
        <v>244.82879163428456</v>
      </c>
      <c r="B13" s="2">
        <v>1628411442806</v>
      </c>
      <c r="C13" s="2">
        <v>35.959942471000495</v>
      </c>
      <c r="D13" s="2"/>
      <c r="E13" s="2" t="s">
        <v>737</v>
      </c>
      <c r="F13" s="2"/>
      <c r="G13" s="2">
        <v>37.339048864976135</v>
      </c>
      <c r="H13" s="2">
        <v>-95.508596436762886</v>
      </c>
      <c r="I13" s="2" t="s">
        <v>738</v>
      </c>
      <c r="J13" s="2"/>
      <c r="K13" s="2" t="s">
        <v>169</v>
      </c>
    </row>
    <row r="14" spans="1:11" x14ac:dyDescent="0.25">
      <c r="A14" s="2">
        <v>245.57206661496031</v>
      </c>
      <c r="B14" s="2">
        <v>1628411448807</v>
      </c>
      <c r="C14" s="2">
        <v>35.959942465978536</v>
      </c>
      <c r="D14" s="2"/>
      <c r="E14" s="2" t="s">
        <v>737</v>
      </c>
      <c r="F14" s="2"/>
      <c r="G14" s="2">
        <v>37.339372183961856</v>
      </c>
      <c r="H14" s="2">
        <v>-95.508593674820645</v>
      </c>
      <c r="I14" s="2" t="s">
        <v>738</v>
      </c>
      <c r="J14" s="2"/>
      <c r="K14" s="2" t="s">
        <v>169</v>
      </c>
    </row>
    <row r="15" spans="1:11" x14ac:dyDescent="0.25">
      <c r="A15" s="2">
        <v>246.31534159567437</v>
      </c>
      <c r="B15" s="2">
        <v>1628411454807</v>
      </c>
      <c r="C15" s="2">
        <v>35.959942460970986</v>
      </c>
      <c r="D15" s="2"/>
      <c r="E15" s="2" t="s">
        <v>737</v>
      </c>
      <c r="F15" s="2"/>
      <c r="G15" s="2">
        <v>37.339695502947592</v>
      </c>
      <c r="H15" s="2">
        <v>-95.508590912878404</v>
      </c>
      <c r="I15" s="2" t="s">
        <v>738</v>
      </c>
      <c r="J15" s="2"/>
      <c r="K15" s="2" t="s">
        <v>169</v>
      </c>
    </row>
    <row r="16" spans="1:11" x14ac:dyDescent="0.25">
      <c r="A16" s="2">
        <v>246.02089719898183</v>
      </c>
      <c r="B16" s="2">
        <v>1628411461807</v>
      </c>
      <c r="C16" s="2">
        <v>60.536716227906609</v>
      </c>
      <c r="D16" s="2"/>
      <c r="E16" s="2" t="s">
        <v>737</v>
      </c>
      <c r="F16" s="2"/>
      <c r="G16" s="2">
        <v>37.339697765790426</v>
      </c>
      <c r="H16" s="2">
        <v>-95.509275657575259</v>
      </c>
      <c r="I16" s="2" t="s">
        <v>738</v>
      </c>
      <c r="J16" s="2"/>
      <c r="K16" s="2" t="s">
        <v>169</v>
      </c>
    </row>
    <row r="17" spans="1:11" x14ac:dyDescent="0.25">
      <c r="A17" s="2">
        <v>245.78224300383329</v>
      </c>
      <c r="B17" s="2">
        <v>1628411467808</v>
      </c>
      <c r="C17" s="2">
        <v>71.919824253929733</v>
      </c>
      <c r="D17" s="2"/>
      <c r="E17" s="2" t="s">
        <v>737</v>
      </c>
      <c r="F17" s="2"/>
      <c r="G17" s="2">
        <v>37.339692959476189</v>
      </c>
      <c r="H17" s="2">
        <v>-95.510089148916407</v>
      </c>
      <c r="I17" s="2" t="s">
        <v>738</v>
      </c>
      <c r="J17" s="2"/>
      <c r="K17" s="2" t="s">
        <v>169</v>
      </c>
    </row>
    <row r="18" spans="1:11" x14ac:dyDescent="0.25">
      <c r="A18" s="2">
        <v>245.54358881633755</v>
      </c>
      <c r="B18" s="2">
        <v>1628411473808</v>
      </c>
      <c r="C18" s="2">
        <v>71.919826548199623</v>
      </c>
      <c r="D18" s="2"/>
      <c r="E18" s="2" t="s">
        <v>737</v>
      </c>
      <c r="F18" s="2"/>
      <c r="G18" s="2">
        <v>37.339688153162115</v>
      </c>
      <c r="H18" s="2">
        <v>-95.510902640231464</v>
      </c>
      <c r="I18" s="2" t="s">
        <v>738</v>
      </c>
      <c r="J18" s="2"/>
      <c r="K18" s="2" t="s">
        <v>169</v>
      </c>
    </row>
    <row r="19" spans="1:11" x14ac:dyDescent="0.25">
      <c r="A19" s="2">
        <v>245.30493463649353</v>
      </c>
      <c r="B19" s="2">
        <v>1628411479809</v>
      </c>
      <c r="C19" s="2">
        <v>71.919828844717941</v>
      </c>
      <c r="D19" s="2"/>
      <c r="E19" s="2" t="s">
        <v>737</v>
      </c>
      <c r="F19" s="2"/>
      <c r="G19" s="2">
        <v>37.33968334684819</v>
      </c>
      <c r="H19" s="2">
        <v>-95.511716131520444</v>
      </c>
      <c r="I19" s="2" t="s">
        <v>738</v>
      </c>
      <c r="J19" s="2"/>
      <c r="K19" s="2" t="s">
        <v>169</v>
      </c>
    </row>
    <row r="20" spans="1:11" x14ac:dyDescent="0.25">
      <c r="A20" s="2">
        <v>245.06628046429995</v>
      </c>
      <c r="B20" s="2">
        <v>1628411485809</v>
      </c>
      <c r="C20" s="2">
        <v>71.919831142359982</v>
      </c>
      <c r="D20" s="2"/>
      <c r="E20" s="2" t="s">
        <v>737</v>
      </c>
      <c r="F20" s="2"/>
      <c r="G20" s="2">
        <v>37.339678540534415</v>
      </c>
      <c r="H20" s="2">
        <v>-95.512529622783319</v>
      </c>
      <c r="I20" s="2" t="s">
        <v>738</v>
      </c>
      <c r="J20" s="2"/>
      <c r="K20" s="2" t="s">
        <v>169</v>
      </c>
    </row>
    <row r="21" spans="1:11" x14ac:dyDescent="0.25">
      <c r="A21" s="2">
        <v>244.827626299755</v>
      </c>
      <c r="B21" s="2">
        <v>1628411491809</v>
      </c>
      <c r="C21" s="2">
        <v>71.919833437751734</v>
      </c>
      <c r="D21" s="2"/>
      <c r="E21" s="2" t="s">
        <v>737</v>
      </c>
      <c r="F21" s="2"/>
      <c r="G21" s="2">
        <v>37.339673734220803</v>
      </c>
      <c r="H21" s="2">
        <v>-95.513343114020159</v>
      </c>
      <c r="I21" s="2" t="s">
        <v>738</v>
      </c>
      <c r="J21" s="2"/>
      <c r="K21" s="2" t="s">
        <v>169</v>
      </c>
    </row>
    <row r="22" spans="1:11" x14ac:dyDescent="0.25">
      <c r="A22" s="2">
        <v>244.58897214285719</v>
      </c>
      <c r="B22" s="2">
        <v>1628411497810</v>
      </c>
      <c r="C22" s="2">
        <v>71.919835736506059</v>
      </c>
      <c r="D22" s="2"/>
      <c r="E22" s="2" t="s">
        <v>737</v>
      </c>
      <c r="F22" s="2"/>
      <c r="G22" s="2">
        <v>37.339668927907333</v>
      </c>
      <c r="H22" s="2">
        <v>-95.514156605230895</v>
      </c>
      <c r="I22" s="2" t="s">
        <v>738</v>
      </c>
      <c r="J22" s="2"/>
      <c r="K22" s="2" t="s">
        <v>169</v>
      </c>
    </row>
    <row r="23" spans="1:11" x14ac:dyDescent="0.25">
      <c r="A23" s="2">
        <v>244.35031799360547</v>
      </c>
      <c r="B23" s="2">
        <v>1628411503810</v>
      </c>
      <c r="C23" s="2">
        <v>71.919838035275205</v>
      </c>
      <c r="D23" s="2"/>
      <c r="E23" s="2" t="s">
        <v>737</v>
      </c>
      <c r="F23" s="2"/>
      <c r="G23" s="2">
        <v>37.339664121594026</v>
      </c>
      <c r="H23" s="2">
        <v>-95.514970096415581</v>
      </c>
      <c r="I23" s="2" t="s">
        <v>738</v>
      </c>
      <c r="J23" s="2"/>
      <c r="K23" s="2" t="s">
        <v>169</v>
      </c>
    </row>
    <row r="24" spans="1:11" x14ac:dyDescent="0.25">
      <c r="A24" s="2">
        <v>244.11166385199795</v>
      </c>
      <c r="B24" s="2">
        <v>1628411509811</v>
      </c>
      <c r="C24" s="2">
        <v>71.91984033403817</v>
      </c>
      <c r="D24" s="2"/>
      <c r="E24" s="2" t="s">
        <v>737</v>
      </c>
      <c r="F24" s="2"/>
      <c r="G24" s="2">
        <v>37.339659315280869</v>
      </c>
      <c r="H24" s="2">
        <v>-95.515783587574219</v>
      </c>
      <c r="I24" s="2" t="s">
        <v>738</v>
      </c>
      <c r="J24" s="2"/>
      <c r="K24" s="2" t="s">
        <v>169</v>
      </c>
    </row>
    <row r="25" spans="1:11" x14ac:dyDescent="0.25">
      <c r="A25" s="2">
        <v>243.87300971803339</v>
      </c>
      <c r="B25" s="2">
        <v>1628411515811</v>
      </c>
      <c r="C25" s="2">
        <v>71.919842631670235</v>
      </c>
      <c r="D25" s="2"/>
      <c r="E25" s="2" t="s">
        <v>737</v>
      </c>
      <c r="F25" s="2"/>
      <c r="G25" s="2">
        <v>37.339654508967868</v>
      </c>
      <c r="H25" s="2">
        <v>-95.516597078706795</v>
      </c>
      <c r="I25" s="2" t="s">
        <v>738</v>
      </c>
      <c r="J25" s="2"/>
      <c r="K25" s="2" t="s">
        <v>169</v>
      </c>
    </row>
    <row r="26" spans="1:11" x14ac:dyDescent="0.25">
      <c r="A26" s="2">
        <v>243.63435559171063</v>
      </c>
      <c r="B26" s="2">
        <v>1628411521812</v>
      </c>
      <c r="C26" s="2">
        <v>71.919844930431296</v>
      </c>
      <c r="D26" s="2"/>
      <c r="E26" s="2" t="s">
        <v>737</v>
      </c>
      <c r="F26" s="2"/>
      <c r="G26" s="2">
        <v>37.339649702655024</v>
      </c>
      <c r="H26" s="2">
        <v>-95.517410569813322</v>
      </c>
      <c r="I26" s="2" t="s">
        <v>738</v>
      </c>
      <c r="J26" s="2"/>
      <c r="K26" s="2" t="s">
        <v>169</v>
      </c>
    </row>
    <row r="27" spans="1:11" x14ac:dyDescent="0.25">
      <c r="A27" s="2">
        <v>243.3957014730274</v>
      </c>
      <c r="B27" s="2">
        <v>1628411527812</v>
      </c>
      <c r="C27" s="2">
        <v>71.919847232565488</v>
      </c>
      <c r="D27" s="2"/>
      <c r="E27" s="2" t="s">
        <v>737</v>
      </c>
      <c r="F27" s="2"/>
      <c r="G27" s="2">
        <v>37.339644896342328</v>
      </c>
      <c r="H27" s="2">
        <v>-95.5182240608938</v>
      </c>
      <c r="I27" s="2" t="s">
        <v>738</v>
      </c>
      <c r="J27" s="2"/>
      <c r="K27" s="2" t="s">
        <v>169</v>
      </c>
    </row>
    <row r="28" spans="1:11" x14ac:dyDescent="0.25">
      <c r="A28" s="2">
        <v>243.15704736198504</v>
      </c>
      <c r="B28" s="2">
        <v>1628411533813</v>
      </c>
      <c r="C28" s="2">
        <v>71.919849530194725</v>
      </c>
      <c r="D28" s="2"/>
      <c r="E28" s="2" t="s">
        <v>737</v>
      </c>
      <c r="F28" s="2"/>
      <c r="G28" s="2">
        <v>37.339640090029789</v>
      </c>
      <c r="H28" s="2">
        <v>-95.519037551948259</v>
      </c>
      <c r="I28" s="2" t="s">
        <v>738</v>
      </c>
      <c r="J28" s="2"/>
      <c r="K28" s="2" t="s">
        <v>169</v>
      </c>
    </row>
    <row r="29" spans="1:11" x14ac:dyDescent="0.25">
      <c r="A29" s="2">
        <v>242.99737645401069</v>
      </c>
      <c r="B29" s="2">
        <v>1628411539813</v>
      </c>
      <c r="C29" s="2">
        <v>48.265564664512013</v>
      </c>
      <c r="D29" s="2"/>
      <c r="E29" s="2" t="s">
        <v>737</v>
      </c>
      <c r="F29" s="2"/>
      <c r="G29" s="2">
        <v>37.339852814689699</v>
      </c>
      <c r="H29" s="2">
        <v>-95.519513445223424</v>
      </c>
      <c r="I29" s="2" t="s">
        <v>738</v>
      </c>
      <c r="J29" s="2"/>
      <c r="K29" s="2" t="s">
        <v>169</v>
      </c>
    </row>
    <row r="30" spans="1:11" x14ac:dyDescent="0.25">
      <c r="A30" s="2">
        <v>242.9295058158402</v>
      </c>
      <c r="B30" s="2">
        <v>1628411545814</v>
      </c>
      <c r="C30" s="2">
        <v>71.919853998215643</v>
      </c>
      <c r="D30" s="2"/>
      <c r="E30" s="2" t="s">
        <v>737</v>
      </c>
      <c r="F30" s="2"/>
      <c r="G30" s="2">
        <v>37.340499268760709</v>
      </c>
      <c r="H30" s="2">
        <v>-95.519539680893743</v>
      </c>
      <c r="I30" s="2" t="s">
        <v>738</v>
      </c>
      <c r="J30" s="2"/>
      <c r="K30" s="2" t="s">
        <v>169</v>
      </c>
    </row>
    <row r="31" spans="1:11" x14ac:dyDescent="0.25">
      <c r="A31" s="2">
        <v>242.86163517736591</v>
      </c>
      <c r="B31" s="2">
        <v>1628411551814</v>
      </c>
      <c r="C31" s="2">
        <v>71.919853677144502</v>
      </c>
      <c r="D31" s="2"/>
      <c r="E31" s="2" t="s">
        <v>737</v>
      </c>
      <c r="F31" s="2"/>
      <c r="G31" s="2">
        <v>37.341145722834618</v>
      </c>
      <c r="H31" s="2">
        <v>-95.519565916564204</v>
      </c>
      <c r="I31" s="2" t="s">
        <v>738</v>
      </c>
      <c r="J31" s="2"/>
      <c r="K31" s="2" t="s">
        <v>169</v>
      </c>
    </row>
    <row r="32" spans="1:11" x14ac:dyDescent="0.25">
      <c r="A32" s="2">
        <v>242.79376453858788</v>
      </c>
      <c r="B32" s="2">
        <v>1628411557815</v>
      </c>
      <c r="C32" s="2">
        <v>71.919853355326126</v>
      </c>
      <c r="D32" s="2"/>
      <c r="E32" s="2" t="s">
        <v>737</v>
      </c>
      <c r="F32" s="2"/>
      <c r="G32" s="2">
        <v>37.341792176911419</v>
      </c>
      <c r="H32" s="2">
        <v>-95.519592152234765</v>
      </c>
      <c r="I32" s="2" t="s">
        <v>738</v>
      </c>
      <c r="J32" s="2"/>
      <c r="K32" s="2" t="s">
        <v>169</v>
      </c>
    </row>
    <row r="33" spans="1:11" x14ac:dyDescent="0.25">
      <c r="A33" s="2">
        <v>242.72589389950599</v>
      </c>
      <c r="B33" s="2">
        <v>1628411563815</v>
      </c>
      <c r="C33" s="2">
        <v>71.919853032760543</v>
      </c>
      <c r="D33" s="2"/>
      <c r="E33" s="2" t="s">
        <v>737</v>
      </c>
      <c r="F33" s="2"/>
      <c r="G33" s="2">
        <v>37.342438630991111</v>
      </c>
      <c r="H33" s="2">
        <v>-95.519618387905481</v>
      </c>
      <c r="I33" s="2" t="s">
        <v>738</v>
      </c>
      <c r="J33" s="2"/>
      <c r="K33" s="2" t="s">
        <v>169</v>
      </c>
    </row>
    <row r="34" spans="1:11" x14ac:dyDescent="0.25">
      <c r="A34" s="2">
        <v>242.6580232601203</v>
      </c>
      <c r="B34" s="2">
        <v>1628411569815</v>
      </c>
      <c r="C34" s="2">
        <v>71.919852710861676</v>
      </c>
      <c r="D34" s="2"/>
      <c r="E34" s="2" t="s">
        <v>737</v>
      </c>
      <c r="F34" s="2"/>
      <c r="G34" s="2">
        <v>37.343085085073696</v>
      </c>
      <c r="H34" s="2">
        <v>-95.519644623576255</v>
      </c>
      <c r="I34" s="2" t="s">
        <v>738</v>
      </c>
      <c r="J34" s="2"/>
      <c r="K34" s="2" t="s">
        <v>169</v>
      </c>
    </row>
    <row r="35" spans="1:11" x14ac:dyDescent="0.25">
      <c r="A35" s="2">
        <v>242.59015262043081</v>
      </c>
      <c r="B35" s="2">
        <v>1628411575816</v>
      </c>
      <c r="C35" s="2">
        <v>71.919852389738267</v>
      </c>
      <c r="D35" s="2"/>
      <c r="E35" s="2" t="s">
        <v>737</v>
      </c>
      <c r="F35" s="2"/>
      <c r="G35" s="2">
        <v>37.34373153915918</v>
      </c>
      <c r="H35" s="2">
        <v>-95.519670859247157</v>
      </c>
      <c r="I35" s="2" t="s">
        <v>738</v>
      </c>
      <c r="J35" s="2"/>
      <c r="K35" s="2" t="s">
        <v>169</v>
      </c>
    </row>
    <row r="36" spans="1:11" x14ac:dyDescent="0.25">
      <c r="A36" s="2">
        <v>242.52228198043761</v>
      </c>
      <c r="B36" s="2">
        <v>1628411581816</v>
      </c>
      <c r="C36" s="2">
        <v>71.919852065746809</v>
      </c>
      <c r="D36" s="2"/>
      <c r="E36" s="2" t="s">
        <v>737</v>
      </c>
      <c r="F36" s="2"/>
      <c r="G36" s="2">
        <v>37.344377993247548</v>
      </c>
      <c r="H36" s="2">
        <v>-95.5196970949182</v>
      </c>
      <c r="I36" s="2" t="s">
        <v>738</v>
      </c>
      <c r="J36" s="2"/>
      <c r="K36" s="2" t="s">
        <v>169</v>
      </c>
    </row>
    <row r="37" spans="1:11" x14ac:dyDescent="0.25">
      <c r="A37" s="2">
        <v>242.45441134014061</v>
      </c>
      <c r="B37" s="2">
        <v>1628411587817</v>
      </c>
      <c r="C37" s="2">
        <v>71.91985174532239</v>
      </c>
      <c r="D37" s="2"/>
      <c r="E37" s="2" t="s">
        <v>737</v>
      </c>
      <c r="F37" s="2"/>
      <c r="G37" s="2">
        <v>37.345024447338815</v>
      </c>
      <c r="H37" s="2">
        <v>-95.5197233305894</v>
      </c>
      <c r="I37" s="2" t="s">
        <v>738</v>
      </c>
      <c r="J37" s="2"/>
      <c r="K37" s="2" t="s">
        <v>169</v>
      </c>
    </row>
    <row r="38" spans="1:11" x14ac:dyDescent="0.25">
      <c r="A38" s="2">
        <v>242.38654069953975</v>
      </c>
      <c r="B38" s="2">
        <v>1628411593817</v>
      </c>
      <c r="C38" s="2">
        <v>71.919851423443802</v>
      </c>
      <c r="D38" s="2"/>
      <c r="E38" s="2" t="s">
        <v>737</v>
      </c>
      <c r="F38" s="2"/>
      <c r="G38" s="2">
        <v>37.345670901432975</v>
      </c>
      <c r="H38" s="2">
        <v>-95.519749566260657</v>
      </c>
      <c r="I38" s="2" t="s">
        <v>738</v>
      </c>
      <c r="J38" s="2"/>
      <c r="K38" s="2" t="s">
        <v>169</v>
      </c>
    </row>
    <row r="39" spans="1:11" x14ac:dyDescent="0.25">
      <c r="A39" s="2">
        <v>242.31867005863532</v>
      </c>
      <c r="B39" s="2">
        <v>1628411599818</v>
      </c>
      <c r="C39" s="2">
        <v>71.91985110085426</v>
      </c>
      <c r="D39" s="2"/>
      <c r="E39" s="2" t="s">
        <v>737</v>
      </c>
      <c r="F39" s="2"/>
      <c r="G39" s="2">
        <v>37.346317355530026</v>
      </c>
      <c r="H39" s="2">
        <v>-95.519775801932056</v>
      </c>
      <c r="I39" s="2" t="s">
        <v>738</v>
      </c>
      <c r="J39" s="2"/>
      <c r="K39" s="2" t="s">
        <v>169</v>
      </c>
    </row>
    <row r="40" spans="1:11" x14ac:dyDescent="0.25">
      <c r="A40" s="2">
        <v>242.38986053924299</v>
      </c>
      <c r="B40" s="2">
        <v>1628411605818</v>
      </c>
      <c r="C40" s="2">
        <v>48.255325986900615</v>
      </c>
      <c r="D40" s="2"/>
      <c r="E40" s="2" t="s">
        <v>737</v>
      </c>
      <c r="F40" s="2"/>
      <c r="G40" s="2">
        <v>37.346686929825204</v>
      </c>
      <c r="H40" s="2">
        <v>-95.520061940741115</v>
      </c>
      <c r="I40" s="2" t="s">
        <v>738</v>
      </c>
      <c r="J40" s="2"/>
      <c r="K40" s="2" t="s">
        <v>169</v>
      </c>
    </row>
    <row r="41" spans="1:11" x14ac:dyDescent="0.25">
      <c r="A41" s="2">
        <v>242.7194421624518</v>
      </c>
      <c r="B41" s="2">
        <v>1628411611819</v>
      </c>
      <c r="C41" s="2">
        <v>71.919859891791972</v>
      </c>
      <c r="D41" s="2"/>
      <c r="E41" s="2" t="s">
        <v>737</v>
      </c>
      <c r="F41" s="2"/>
      <c r="G41" s="2">
        <v>37.346690679300842</v>
      </c>
      <c r="H41" s="2">
        <v>-95.520875512977995</v>
      </c>
      <c r="I41" s="2" t="s">
        <v>738</v>
      </c>
      <c r="J41" s="2"/>
      <c r="K41" s="2" t="s">
        <v>169</v>
      </c>
    </row>
    <row r="42" spans="1:11" x14ac:dyDescent="0.25">
      <c r="A42" s="2">
        <v>243.04902379388091</v>
      </c>
      <c r="B42" s="2">
        <v>1628411617819</v>
      </c>
      <c r="C42" s="2">
        <v>71.919858092094998</v>
      </c>
      <c r="D42" s="2"/>
      <c r="E42" s="2" t="s">
        <v>737</v>
      </c>
      <c r="F42" s="2"/>
      <c r="G42" s="2">
        <v>37.346694428776573</v>
      </c>
      <c r="H42" s="2">
        <v>-95.521689085235195</v>
      </c>
      <c r="I42" s="2" t="s">
        <v>738</v>
      </c>
      <c r="J42" s="2"/>
      <c r="K42" s="2" t="s">
        <v>169</v>
      </c>
    </row>
    <row r="43" spans="1:11" x14ac:dyDescent="0.25">
      <c r="A43" s="2">
        <v>243.37860543353304</v>
      </c>
      <c r="B43" s="2">
        <v>1628411623819</v>
      </c>
      <c r="C43" s="2">
        <v>71.91985629690403</v>
      </c>
      <c r="D43" s="2"/>
      <c r="E43" s="2" t="s">
        <v>737</v>
      </c>
      <c r="F43" s="2"/>
      <c r="G43" s="2">
        <v>37.346698178252403</v>
      </c>
      <c r="H43" s="2">
        <v>-95.522502657512675</v>
      </c>
      <c r="I43" s="2" t="s">
        <v>738</v>
      </c>
      <c r="J43" s="2"/>
      <c r="K43" s="2" t="s">
        <v>169</v>
      </c>
    </row>
    <row r="44" spans="1:11" x14ac:dyDescent="0.25">
      <c r="A44" s="2">
        <v>243.70818708140919</v>
      </c>
      <c r="B44" s="2">
        <v>1628411629820</v>
      </c>
      <c r="C44" s="2">
        <v>71.919854498338708</v>
      </c>
      <c r="D44" s="2"/>
      <c r="E44" s="2" t="s">
        <v>737</v>
      </c>
      <c r="F44" s="2"/>
      <c r="G44" s="2">
        <v>37.346701927728326</v>
      </c>
      <c r="H44" s="2">
        <v>-95.523316229810433</v>
      </c>
      <c r="I44" s="2" t="s">
        <v>738</v>
      </c>
      <c r="J44" s="2"/>
      <c r="K44" s="2" t="s">
        <v>169</v>
      </c>
    </row>
    <row r="45" spans="1:11" x14ac:dyDescent="0.25">
      <c r="A45" s="2">
        <v>243.85646735361777</v>
      </c>
      <c r="B45" s="2">
        <v>1628411635820</v>
      </c>
      <c r="C45" s="2">
        <v>83.284363114992715</v>
      </c>
      <c r="D45" s="2"/>
      <c r="E45" s="2" t="s">
        <v>737</v>
      </c>
      <c r="F45" s="2"/>
      <c r="G45" s="2">
        <v>37.346709524137545</v>
      </c>
      <c r="H45" s="2">
        <v>-95.5242583356289</v>
      </c>
      <c r="I45" s="2" t="s">
        <v>738</v>
      </c>
      <c r="J45" s="2"/>
      <c r="K45" s="2" t="s">
        <v>169</v>
      </c>
    </row>
    <row r="46" spans="1:11" x14ac:dyDescent="0.25">
      <c r="A46" s="2">
        <v>243.48586939226453</v>
      </c>
      <c r="B46" s="2">
        <v>1628411641821</v>
      </c>
      <c r="C46" s="2">
        <v>71.9199092472698</v>
      </c>
      <c r="D46" s="2"/>
      <c r="E46" s="2" t="s">
        <v>737</v>
      </c>
      <c r="F46" s="2"/>
      <c r="G46" s="2">
        <v>37.346723036550983</v>
      </c>
      <c r="H46" s="2">
        <v>-95.525071742564378</v>
      </c>
      <c r="I46" s="2" t="s">
        <v>738</v>
      </c>
      <c r="J46" s="2"/>
      <c r="K46" s="2" t="s">
        <v>169</v>
      </c>
    </row>
    <row r="47" spans="1:11" x14ac:dyDescent="0.25">
      <c r="A47" s="2">
        <v>243.11527139759932</v>
      </c>
      <c r="B47" s="2">
        <v>1628411647821</v>
      </c>
      <c r="C47" s="2">
        <v>71.919902776098297</v>
      </c>
      <c r="D47" s="2"/>
      <c r="E47" s="2" t="s">
        <v>737</v>
      </c>
      <c r="F47" s="2"/>
      <c r="G47" s="2">
        <v>37.346736548965637</v>
      </c>
      <c r="H47" s="2">
        <v>-95.525885149572957</v>
      </c>
      <c r="I47" s="2" t="s">
        <v>738</v>
      </c>
      <c r="J47" s="2"/>
      <c r="K47" s="2" t="s">
        <v>169</v>
      </c>
    </row>
    <row r="48" spans="1:11" x14ac:dyDescent="0.25">
      <c r="A48" s="2">
        <v>242.7446733696201</v>
      </c>
      <c r="B48" s="2">
        <v>1628411653821</v>
      </c>
      <c r="C48" s="2">
        <v>71.919896303839295</v>
      </c>
      <c r="D48" s="2"/>
      <c r="E48" s="2" t="s">
        <v>737</v>
      </c>
      <c r="F48" s="2"/>
      <c r="G48" s="2">
        <v>37.346750061381506</v>
      </c>
      <c r="H48" s="2">
        <v>-95.526698556654679</v>
      </c>
      <c r="I48" s="2" t="s">
        <v>738</v>
      </c>
      <c r="J48" s="2"/>
      <c r="K48" s="2" t="s">
        <v>169</v>
      </c>
    </row>
    <row r="49" spans="1:11" x14ac:dyDescent="0.25">
      <c r="A49" s="2">
        <v>242.37407530832459</v>
      </c>
      <c r="B49" s="2">
        <v>1628411659822</v>
      </c>
      <c r="C49" s="2">
        <v>71.919889833777162</v>
      </c>
      <c r="D49" s="2"/>
      <c r="E49" s="2" t="s">
        <v>737</v>
      </c>
      <c r="F49" s="2"/>
      <c r="G49" s="2">
        <v>37.346763573798597</v>
      </c>
      <c r="H49" s="2">
        <v>-95.527511963809516</v>
      </c>
      <c r="I49" s="2" t="s">
        <v>738</v>
      </c>
      <c r="J49" s="2"/>
      <c r="K49" s="2" t="s">
        <v>169</v>
      </c>
    </row>
    <row r="50" spans="1:11" x14ac:dyDescent="0.25">
      <c r="A50" s="2">
        <v>242.0034772137104</v>
      </c>
      <c r="B50" s="2">
        <v>1628411665822</v>
      </c>
      <c r="C50" s="2">
        <v>71.919883360364082</v>
      </c>
      <c r="D50" s="2"/>
      <c r="E50" s="2" t="s">
        <v>737</v>
      </c>
      <c r="F50" s="2"/>
      <c r="G50" s="2">
        <v>37.346777086216903</v>
      </c>
      <c r="H50" s="2">
        <v>-95.528325371037482</v>
      </c>
      <c r="I50" s="2" t="s">
        <v>738</v>
      </c>
      <c r="J50" s="2"/>
      <c r="K50" s="2" t="s">
        <v>169</v>
      </c>
    </row>
    <row r="51" spans="1:11" x14ac:dyDescent="0.25">
      <c r="A51" s="2">
        <v>241.63287908577431</v>
      </c>
      <c r="B51" s="2">
        <v>1628411671823</v>
      </c>
      <c r="C51" s="2">
        <v>71.91987689256527</v>
      </c>
      <c r="D51" s="2"/>
      <c r="E51" s="2" t="s">
        <v>737</v>
      </c>
      <c r="F51" s="2"/>
      <c r="G51" s="2">
        <v>37.346790598636431</v>
      </c>
      <c r="H51" s="2">
        <v>-95.529138778338606</v>
      </c>
      <c r="I51" s="2" t="s">
        <v>738</v>
      </c>
      <c r="J51" s="2"/>
      <c r="K51" s="2" t="s">
        <v>169</v>
      </c>
    </row>
    <row r="52" spans="1:11" x14ac:dyDescent="0.25">
      <c r="A52" s="2">
        <v>241.26228092451427</v>
      </c>
      <c r="B52" s="2">
        <v>1628411677823</v>
      </c>
      <c r="C52" s="2">
        <v>71.919870421356393</v>
      </c>
      <c r="D52" s="2"/>
      <c r="E52" s="2" t="s">
        <v>737</v>
      </c>
      <c r="F52" s="2"/>
      <c r="G52" s="2">
        <v>37.346804111057168</v>
      </c>
      <c r="H52" s="2">
        <v>-95.529952185712844</v>
      </c>
      <c r="I52" s="2" t="s">
        <v>738</v>
      </c>
      <c r="J52" s="2"/>
      <c r="K52" s="2" t="s">
        <v>169</v>
      </c>
    </row>
    <row r="53" spans="1:11" x14ac:dyDescent="0.25">
      <c r="A53" s="2">
        <v>240.89168272993192</v>
      </c>
      <c r="B53" s="2">
        <v>1628411683823</v>
      </c>
      <c r="C53" s="2">
        <v>71.919863950184322</v>
      </c>
      <c r="D53" s="2"/>
      <c r="E53" s="2" t="s">
        <v>737</v>
      </c>
      <c r="F53" s="2"/>
      <c r="G53" s="2">
        <v>37.346817623479126</v>
      </c>
      <c r="H53" s="2">
        <v>-95.530765593160197</v>
      </c>
      <c r="I53" s="2" t="s">
        <v>738</v>
      </c>
      <c r="J53" s="2"/>
      <c r="K53" s="2" t="s">
        <v>169</v>
      </c>
    </row>
    <row r="54" spans="1:11" x14ac:dyDescent="0.25">
      <c r="A54" s="2">
        <v>240.52108450202311</v>
      </c>
      <c r="B54" s="2">
        <v>1628411689824</v>
      </c>
      <c r="C54" s="2">
        <v>71.91985748344311</v>
      </c>
      <c r="D54" s="2"/>
      <c r="E54" s="2" t="s">
        <v>737</v>
      </c>
      <c r="F54" s="2"/>
      <c r="G54" s="2">
        <v>37.346831135902292</v>
      </c>
      <c r="H54" s="2">
        <v>-95.531579000680765</v>
      </c>
      <c r="I54" s="2" t="s">
        <v>738</v>
      </c>
      <c r="J54" s="2"/>
      <c r="K54" s="2" t="s">
        <v>169</v>
      </c>
    </row>
    <row r="55" spans="1:11" x14ac:dyDescent="0.25">
      <c r="A55" s="2">
        <v>238.65836462102692</v>
      </c>
      <c r="B55" s="2">
        <v>1628411695824</v>
      </c>
      <c r="C55" s="2">
        <v>74.412156959272266</v>
      </c>
      <c r="D55" s="2"/>
      <c r="E55" s="2" t="s">
        <v>737</v>
      </c>
      <c r="F55" s="2"/>
      <c r="G55" s="2">
        <v>37.34698152980932</v>
      </c>
      <c r="H55" s="2">
        <v>-95.53239898786174</v>
      </c>
      <c r="I55" s="2" t="s">
        <v>738</v>
      </c>
      <c r="J55" s="2"/>
      <c r="K55" s="2" t="s">
        <v>169</v>
      </c>
    </row>
    <row r="56" spans="1:11" x14ac:dyDescent="0.25">
      <c r="A56" s="2">
        <v>237.71979407282035</v>
      </c>
      <c r="B56" s="2">
        <v>1628411701825</v>
      </c>
      <c r="C56" s="2">
        <v>43.299042827530691</v>
      </c>
      <c r="D56" s="2"/>
      <c r="E56" s="2" t="s">
        <v>737</v>
      </c>
      <c r="F56" s="2"/>
      <c r="G56" s="2">
        <v>37.347191751549751</v>
      </c>
      <c r="H56" s="2">
        <v>-95.532811161308459</v>
      </c>
      <c r="I56" s="2" t="s">
        <v>738</v>
      </c>
      <c r="J56" s="2"/>
      <c r="K56" s="2" t="s">
        <v>169</v>
      </c>
    </row>
    <row r="57" spans="1:11" x14ac:dyDescent="0.25">
      <c r="A57" s="2">
        <v>237.4044849775307</v>
      </c>
      <c r="B57" s="2">
        <v>1628411707825</v>
      </c>
      <c r="C57" s="2">
        <v>35.959946163454248</v>
      </c>
      <c r="D57" s="2"/>
      <c r="E57" s="2" t="s">
        <v>737</v>
      </c>
      <c r="F57" s="2"/>
      <c r="G57" s="2">
        <v>37.347414909019129</v>
      </c>
      <c r="H57" s="2">
        <v>-95.533105568462105</v>
      </c>
      <c r="I57" s="2" t="s">
        <v>738</v>
      </c>
      <c r="J57" s="2"/>
      <c r="K57" s="2" t="s">
        <v>169</v>
      </c>
    </row>
    <row r="58" spans="1:11" x14ac:dyDescent="0.25">
      <c r="A58" s="2">
        <v>237.40087324333535</v>
      </c>
      <c r="B58" s="2">
        <v>1628411713825</v>
      </c>
      <c r="C58" s="2">
        <v>34.009531865924878</v>
      </c>
      <c r="D58" s="2"/>
      <c r="E58" s="2" t="s">
        <v>737</v>
      </c>
      <c r="F58" s="2"/>
      <c r="G58" s="2">
        <v>37.34768340122227</v>
      </c>
      <c r="H58" s="2">
        <v>-95.533289839231841</v>
      </c>
      <c r="I58" s="2" t="s">
        <v>738</v>
      </c>
      <c r="J58" s="2"/>
      <c r="K58" s="2" t="s">
        <v>169</v>
      </c>
    </row>
    <row r="59" spans="1:11" x14ac:dyDescent="0.25">
      <c r="A59" s="2">
        <v>237.5371831370378</v>
      </c>
      <c r="B59" s="2">
        <v>1628411719826</v>
      </c>
      <c r="C59" s="2">
        <v>35.959929826365581</v>
      </c>
      <c r="D59" s="2"/>
      <c r="E59" s="2" t="s">
        <v>737</v>
      </c>
      <c r="F59" s="2"/>
      <c r="G59" s="2">
        <v>37.347985833119338</v>
      </c>
      <c r="H59" s="2">
        <v>-95.533433913109874</v>
      </c>
      <c r="I59" s="2" t="s">
        <v>738</v>
      </c>
      <c r="J59" s="2"/>
      <c r="K59" s="2" t="s">
        <v>169</v>
      </c>
    </row>
    <row r="60" spans="1:11" x14ac:dyDescent="0.25">
      <c r="A60" s="2">
        <v>237.36251862933048</v>
      </c>
      <c r="B60" s="2">
        <v>1628411725826</v>
      </c>
      <c r="C60" s="2">
        <v>38.936552882450698</v>
      </c>
      <c r="D60" s="2"/>
      <c r="E60" s="2" t="s">
        <v>737</v>
      </c>
      <c r="F60" s="2"/>
      <c r="G60" s="2">
        <v>37.348333834836929</v>
      </c>
      <c r="H60" s="2">
        <v>-95.533385068472342</v>
      </c>
      <c r="I60" s="2" t="s">
        <v>738</v>
      </c>
      <c r="J60" s="2"/>
      <c r="K60" s="2" t="s">
        <v>169</v>
      </c>
    </row>
    <row r="61" spans="1:11" x14ac:dyDescent="0.25">
      <c r="A61" s="2">
        <v>237.11079746978515</v>
      </c>
      <c r="B61" s="2">
        <v>1628411731827</v>
      </c>
      <c r="C61" s="2">
        <v>38.694971958312415</v>
      </c>
      <c r="D61" s="2"/>
      <c r="E61" s="2" t="s">
        <v>737</v>
      </c>
      <c r="F61" s="2"/>
      <c r="G61" s="2">
        <v>37.348669051738391</v>
      </c>
      <c r="H61" s="2">
        <v>-95.533267581376762</v>
      </c>
      <c r="I61" s="2" t="s">
        <v>738</v>
      </c>
      <c r="J61" s="2"/>
      <c r="K61" s="2" t="s">
        <v>169</v>
      </c>
    </row>
    <row r="62" spans="1:11" x14ac:dyDescent="0.25">
      <c r="A62" s="2">
        <v>236.78318977164653</v>
      </c>
      <c r="B62" s="2">
        <v>1628411737827</v>
      </c>
      <c r="C62" s="2">
        <v>35.959933682095823</v>
      </c>
      <c r="D62" s="2"/>
      <c r="E62" s="2" t="s">
        <v>737</v>
      </c>
      <c r="F62" s="2"/>
      <c r="G62" s="2">
        <v>37.348945927044426</v>
      </c>
      <c r="H62" s="2">
        <v>-95.533057405438015</v>
      </c>
      <c r="I62" s="2" t="s">
        <v>738</v>
      </c>
      <c r="J62" s="2"/>
      <c r="K62" s="2" t="s">
        <v>169</v>
      </c>
    </row>
    <row r="63" spans="1:11" x14ac:dyDescent="0.25">
      <c r="A63" s="2">
        <v>236.43405956779449</v>
      </c>
      <c r="B63" s="2">
        <v>1628411743828</v>
      </c>
      <c r="C63" s="2">
        <v>34.275813632609243</v>
      </c>
      <c r="D63" s="2"/>
      <c r="E63" s="2" t="s">
        <v>737</v>
      </c>
      <c r="F63" s="2"/>
      <c r="G63" s="2">
        <v>37.349118964711792</v>
      </c>
      <c r="H63" s="2">
        <v>-95.532736531178926</v>
      </c>
      <c r="I63" s="2" t="s">
        <v>738</v>
      </c>
      <c r="J63" s="2"/>
      <c r="K63" s="2" t="s">
        <v>169</v>
      </c>
    </row>
    <row r="64" spans="1:11" x14ac:dyDescent="0.25">
      <c r="A64" s="2">
        <v>236.49716761858161</v>
      </c>
      <c r="B64" s="2">
        <v>1628411749828</v>
      </c>
      <c r="C64" s="2">
        <v>34.169366726679065</v>
      </c>
      <c r="D64" s="2"/>
      <c r="E64" s="2" t="s">
        <v>737</v>
      </c>
      <c r="F64" s="2"/>
      <c r="G64" s="2">
        <v>37.349280889012192</v>
      </c>
      <c r="H64" s="2">
        <v>-95.532407998106237</v>
      </c>
      <c r="I64" s="2" t="s">
        <v>738</v>
      </c>
      <c r="J64" s="2"/>
      <c r="K64" s="2" t="s">
        <v>169</v>
      </c>
    </row>
    <row r="65" spans="1:11" x14ac:dyDescent="0.25">
      <c r="A65" s="2">
        <v>236.51139285851127</v>
      </c>
      <c r="B65" s="2">
        <v>1628411755829</v>
      </c>
      <c r="C65" s="2">
        <v>34.967760394905198</v>
      </c>
      <c r="D65" s="2"/>
      <c r="E65" s="2" t="s">
        <v>737</v>
      </c>
      <c r="F65" s="2"/>
      <c r="G65" s="2">
        <v>37.349346602174769</v>
      </c>
      <c r="H65" s="2">
        <v>-95.532021144182181</v>
      </c>
      <c r="I65" s="2" t="s">
        <v>738</v>
      </c>
      <c r="J65" s="2"/>
      <c r="K65" s="2" t="s">
        <v>169</v>
      </c>
    </row>
    <row r="66" spans="1:11" x14ac:dyDescent="0.25">
      <c r="A66" s="2">
        <v>236.40848213614407</v>
      </c>
      <c r="B66" s="2">
        <v>1628411761829</v>
      </c>
      <c r="C66" s="2">
        <v>35.959928290590646</v>
      </c>
      <c r="D66" s="2"/>
      <c r="E66" s="2" t="s">
        <v>737</v>
      </c>
      <c r="F66" s="2"/>
      <c r="G66" s="2">
        <v>37.349364395438663</v>
      </c>
      <c r="H66" s="2">
        <v>-95.531614950415459</v>
      </c>
      <c r="I66" s="2" t="s">
        <v>738</v>
      </c>
      <c r="J66" s="2"/>
      <c r="K66" s="2" t="s">
        <v>169</v>
      </c>
    </row>
    <row r="67" spans="1:11" x14ac:dyDescent="0.25">
      <c r="A67" s="2">
        <v>236.19274570616696</v>
      </c>
      <c r="B67" s="2">
        <v>1628411767830</v>
      </c>
      <c r="C67" s="2">
        <v>33.019342934990014</v>
      </c>
      <c r="D67" s="2"/>
      <c r="E67" s="2" t="s">
        <v>737</v>
      </c>
      <c r="F67" s="2"/>
      <c r="G67" s="2">
        <v>37.34927462654391</v>
      </c>
      <c r="H67" s="2">
        <v>-95.53125889135768</v>
      </c>
      <c r="I67" s="2" t="s">
        <v>738</v>
      </c>
      <c r="J67" s="2"/>
      <c r="K67" s="2" t="s">
        <v>169</v>
      </c>
    </row>
    <row r="68" spans="1:11" x14ac:dyDescent="0.25">
      <c r="A68" s="2">
        <v>236.0935228240966</v>
      </c>
      <c r="B68" s="2">
        <v>1628411773830</v>
      </c>
      <c r="C68" s="2">
        <v>33.936875638730946</v>
      </c>
      <c r="D68" s="2"/>
      <c r="E68" s="2" t="s">
        <v>737</v>
      </c>
      <c r="F68" s="2"/>
      <c r="G68" s="2">
        <v>37.349121110769516</v>
      </c>
      <c r="H68" s="2">
        <v>-95.530927072284726</v>
      </c>
      <c r="I68" s="2" t="s">
        <v>738</v>
      </c>
      <c r="J68" s="2"/>
      <c r="K68" s="2" t="s">
        <v>169</v>
      </c>
    </row>
    <row r="69" spans="1:11" x14ac:dyDescent="0.25">
      <c r="A69" s="2">
        <v>236.31409117525749</v>
      </c>
      <c r="B69" s="2">
        <v>1628411779830</v>
      </c>
      <c r="C69" s="2">
        <v>35.959921581746698</v>
      </c>
      <c r="D69" s="2"/>
      <c r="E69" s="2" t="s">
        <v>737</v>
      </c>
      <c r="F69" s="2"/>
      <c r="G69" s="2">
        <v>37.348922633187065</v>
      </c>
      <c r="H69" s="2">
        <v>-95.530605899315233</v>
      </c>
      <c r="I69" s="2" t="s">
        <v>738</v>
      </c>
      <c r="J69" s="2"/>
      <c r="K69" s="2" t="s">
        <v>169</v>
      </c>
    </row>
    <row r="70" spans="1:11" x14ac:dyDescent="0.25">
      <c r="A70" s="2">
        <v>236.6798860866368</v>
      </c>
      <c r="B70" s="2">
        <v>1628411785831</v>
      </c>
      <c r="C70" s="2">
        <v>30.460530095305391</v>
      </c>
      <c r="D70" s="2"/>
      <c r="E70" s="2" t="s">
        <v>737</v>
      </c>
      <c r="F70" s="2"/>
      <c r="G70" s="2">
        <v>37.348790617214966</v>
      </c>
      <c r="H70" s="2">
        <v>-95.530303987970797</v>
      </c>
      <c r="I70" s="2" t="s">
        <v>738</v>
      </c>
      <c r="J70" s="2"/>
      <c r="K70" s="2" t="s">
        <v>169</v>
      </c>
    </row>
    <row r="71" spans="1:11" x14ac:dyDescent="0.25">
      <c r="A71" s="2">
        <v>236.49771708011647</v>
      </c>
      <c r="B71" s="2">
        <v>1628411791831</v>
      </c>
      <c r="C71" s="2">
        <v>41.349199120044794</v>
      </c>
      <c r="D71" s="2"/>
      <c r="E71" s="2" t="s">
        <v>737</v>
      </c>
      <c r="F71" s="2"/>
      <c r="G71" s="2">
        <v>37.348581159684748</v>
      </c>
      <c r="H71" s="2">
        <v>-95.529917481807473</v>
      </c>
      <c r="I71" s="2" t="s">
        <v>738</v>
      </c>
      <c r="J71" s="2"/>
      <c r="K71" s="2" t="s">
        <v>169</v>
      </c>
    </row>
    <row r="72" spans="1:11" x14ac:dyDescent="0.25">
      <c r="A72" s="2">
        <v>235.9708907395426</v>
      </c>
      <c r="B72" s="2">
        <v>1628411797832</v>
      </c>
      <c r="C72" s="2">
        <v>39.952085613243426</v>
      </c>
      <c r="D72" s="2"/>
      <c r="E72" s="2" t="s">
        <v>737</v>
      </c>
      <c r="F72" s="2"/>
      <c r="G72" s="2">
        <v>37.348368406510069</v>
      </c>
      <c r="H72" s="2">
        <v>-95.529553316565298</v>
      </c>
      <c r="I72" s="2" t="s">
        <v>738</v>
      </c>
      <c r="J72" s="2"/>
      <c r="K72" s="2" t="s">
        <v>169</v>
      </c>
    </row>
    <row r="73" spans="1:11" x14ac:dyDescent="0.25">
      <c r="A73" s="2">
        <v>235.76027286193633</v>
      </c>
      <c r="B73" s="2">
        <v>1628411804832</v>
      </c>
      <c r="C73" s="2">
        <v>47.000565745484508</v>
      </c>
      <c r="D73" s="2"/>
      <c r="E73" s="2" t="s">
        <v>737</v>
      </c>
      <c r="F73" s="2"/>
      <c r="G73" s="2">
        <v>37.348642749840984</v>
      </c>
      <c r="H73" s="2">
        <v>-95.529148828144315</v>
      </c>
      <c r="I73" s="2" t="s">
        <v>738</v>
      </c>
      <c r="J73" s="2"/>
      <c r="K73" s="2" t="s">
        <v>169</v>
      </c>
    </row>
    <row r="74" spans="1:11" x14ac:dyDescent="0.25">
      <c r="A74" s="2">
        <v>235.85109152694884</v>
      </c>
      <c r="B74" s="2">
        <v>1628411810833</v>
      </c>
      <c r="C74" s="2">
        <v>71.920191891432125</v>
      </c>
      <c r="D74" s="2"/>
      <c r="E74" s="2" t="s">
        <v>737</v>
      </c>
      <c r="F74" s="2"/>
      <c r="G74" s="2">
        <v>37.349148609805098</v>
      </c>
      <c r="H74" s="2">
        <v>-95.528641822135143</v>
      </c>
      <c r="I74" s="2" t="s">
        <v>738</v>
      </c>
      <c r="J74" s="2"/>
      <c r="K74" s="2" t="s">
        <v>169</v>
      </c>
    </row>
    <row r="75" spans="1:11" x14ac:dyDescent="0.25">
      <c r="A75" s="2">
        <v>235.94191031076804</v>
      </c>
      <c r="B75" s="2">
        <v>1628411816833</v>
      </c>
      <c r="C75" s="2">
        <v>71.920097804890446</v>
      </c>
      <c r="D75" s="2"/>
      <c r="E75" s="2" t="s">
        <v>737</v>
      </c>
      <c r="F75" s="2"/>
      <c r="G75" s="2">
        <v>37.349654470430977</v>
      </c>
      <c r="H75" s="2">
        <v>-95.528134815462721</v>
      </c>
      <c r="I75" s="2" t="s">
        <v>738</v>
      </c>
      <c r="J75" s="2"/>
      <c r="K75" s="2" t="s">
        <v>169</v>
      </c>
    </row>
    <row r="76" spans="1:11" x14ac:dyDescent="0.25">
      <c r="A76" s="2">
        <v>236.03272921339564</v>
      </c>
      <c r="B76" s="2">
        <v>1628411822834</v>
      </c>
      <c r="C76" s="2">
        <v>71.920003720413561</v>
      </c>
      <c r="D76" s="2"/>
      <c r="E76" s="2" t="s">
        <v>737</v>
      </c>
      <c r="F76" s="2"/>
      <c r="G76" s="2">
        <v>37.350160331718612</v>
      </c>
      <c r="H76" s="2">
        <v>-95.527627808127022</v>
      </c>
      <c r="I76" s="2" t="s">
        <v>738</v>
      </c>
      <c r="J76" s="2"/>
      <c r="K76" s="2" t="s">
        <v>169</v>
      </c>
    </row>
    <row r="77" spans="1:11" x14ac:dyDescent="0.25">
      <c r="A77" s="2">
        <v>236.12354823483264</v>
      </c>
      <c r="B77" s="2">
        <v>1628411828834</v>
      </c>
      <c r="C77" s="2">
        <v>71.919909630440543</v>
      </c>
      <c r="D77" s="2"/>
      <c r="E77" s="2" t="s">
        <v>737</v>
      </c>
      <c r="F77" s="2"/>
      <c r="G77" s="2">
        <v>37.350666193668019</v>
      </c>
      <c r="H77" s="2">
        <v>-95.527120800128074</v>
      </c>
      <c r="I77" s="2" t="s">
        <v>738</v>
      </c>
      <c r="J77" s="2"/>
      <c r="K77" s="2" t="s">
        <v>169</v>
      </c>
    </row>
    <row r="78" spans="1:11" x14ac:dyDescent="0.25">
      <c r="A78" s="2">
        <v>236.19475419701831</v>
      </c>
      <c r="B78" s="2">
        <v>1628411834835</v>
      </c>
      <c r="C78" s="2">
        <v>68.891801136392786</v>
      </c>
      <c r="D78" s="2"/>
      <c r="E78" s="2" t="s">
        <v>737</v>
      </c>
      <c r="F78" s="2"/>
      <c r="G78" s="2">
        <v>37.351145795486559</v>
      </c>
      <c r="H78" s="2">
        <v>-95.526627403828044</v>
      </c>
      <c r="I78" s="2" t="s">
        <v>738</v>
      </c>
      <c r="J78" s="2"/>
      <c r="K78" s="2" t="s">
        <v>169</v>
      </c>
    </row>
    <row r="79" spans="1:11" x14ac:dyDescent="0.25">
      <c r="A79" s="2">
        <v>236.26188556798195</v>
      </c>
      <c r="B79" s="2">
        <v>1628411840835</v>
      </c>
      <c r="C79" s="2">
        <v>71.920472747774184</v>
      </c>
      <c r="D79" s="2"/>
      <c r="E79" s="2" t="s">
        <v>737</v>
      </c>
      <c r="F79" s="2"/>
      <c r="G79" s="2">
        <v>37.351644194276453</v>
      </c>
      <c r="H79" s="2">
        <v>-95.526108813987335</v>
      </c>
      <c r="I79" s="2" t="s">
        <v>738</v>
      </c>
      <c r="J79" s="2"/>
      <c r="K79" s="2" t="s">
        <v>169</v>
      </c>
    </row>
    <row r="80" spans="1:11" x14ac:dyDescent="0.25">
      <c r="A80" s="2">
        <v>236.32901702947009</v>
      </c>
      <c r="B80" s="2">
        <v>1628411846835</v>
      </c>
      <c r="C80" s="2">
        <v>71.920375762365424</v>
      </c>
      <c r="D80" s="2"/>
      <c r="E80" s="2" t="s">
        <v>737</v>
      </c>
      <c r="F80" s="2"/>
      <c r="G80" s="2">
        <v>37.352142593738414</v>
      </c>
      <c r="H80" s="2">
        <v>-95.525590223447338</v>
      </c>
      <c r="I80" s="2" t="s">
        <v>738</v>
      </c>
      <c r="J80" s="2"/>
      <c r="K80" s="2" t="s">
        <v>169</v>
      </c>
    </row>
    <row r="81" spans="1:11" x14ac:dyDescent="0.25">
      <c r="A81" s="2">
        <v>236.39614858148411</v>
      </c>
      <c r="B81" s="2">
        <v>1628411852836</v>
      </c>
      <c r="C81" s="2">
        <v>71.920278779056304</v>
      </c>
      <c r="D81" s="2"/>
      <c r="E81" s="2" t="s">
        <v>737</v>
      </c>
      <c r="F81" s="2"/>
      <c r="G81" s="2">
        <v>37.352640993872463</v>
      </c>
      <c r="H81" s="2">
        <v>-95.525071632208039</v>
      </c>
      <c r="I81" s="2" t="s">
        <v>738</v>
      </c>
      <c r="J81" s="2"/>
      <c r="K81" s="2" t="s">
        <v>169</v>
      </c>
    </row>
    <row r="82" spans="1:11" x14ac:dyDescent="0.25">
      <c r="A82" s="2">
        <v>236.46328022402523</v>
      </c>
      <c r="B82" s="2">
        <v>1628411858836</v>
      </c>
      <c r="C82" s="2">
        <v>71.920181792799752</v>
      </c>
      <c r="D82" s="2"/>
      <c r="E82" s="2" t="s">
        <v>737</v>
      </c>
      <c r="F82" s="2"/>
      <c r="G82" s="2">
        <v>37.3531393946786</v>
      </c>
      <c r="H82" s="2">
        <v>-95.524553040269396</v>
      </c>
      <c r="I82" s="2" t="s">
        <v>738</v>
      </c>
      <c r="J82" s="2"/>
      <c r="K82" s="2" t="s">
        <v>169</v>
      </c>
    </row>
    <row r="83" spans="1:11" x14ac:dyDescent="0.25">
      <c r="A83" s="2">
        <v>236.53041195709477</v>
      </c>
      <c r="B83" s="2">
        <v>1628411864837</v>
      </c>
      <c r="C83" s="2">
        <v>71.920084807926102</v>
      </c>
      <c r="D83" s="2"/>
      <c r="E83" s="2" t="s">
        <v>737</v>
      </c>
      <c r="F83" s="2"/>
      <c r="G83" s="2">
        <v>37.353637796156853</v>
      </c>
      <c r="H83" s="2">
        <v>-95.524034447631422</v>
      </c>
      <c r="I83" s="2" t="s">
        <v>738</v>
      </c>
      <c r="J83" s="2"/>
      <c r="K83" s="2" t="s">
        <v>169</v>
      </c>
    </row>
    <row r="84" spans="1:11" x14ac:dyDescent="0.25">
      <c r="A84" s="2">
        <v>236.59754378069425</v>
      </c>
      <c r="B84" s="2">
        <v>1628411870837</v>
      </c>
      <c r="C84" s="2">
        <v>71.919987820276774</v>
      </c>
      <c r="D84" s="2"/>
      <c r="E84" s="2" t="s">
        <v>737</v>
      </c>
      <c r="F84" s="2"/>
      <c r="G84" s="2">
        <v>37.354136198307209</v>
      </c>
      <c r="H84" s="2">
        <v>-95.523515854294118</v>
      </c>
      <c r="I84" s="2" t="s">
        <v>738</v>
      </c>
      <c r="J84" s="2"/>
      <c r="K84" s="2" t="s">
        <v>169</v>
      </c>
    </row>
    <row r="85" spans="1:11" x14ac:dyDescent="0.25">
      <c r="A85" s="2">
        <v>236.66467569482535</v>
      </c>
      <c r="B85" s="2">
        <v>1628411876837</v>
      </c>
      <c r="C85" s="2">
        <v>71.919890830770186</v>
      </c>
      <c r="D85" s="2"/>
      <c r="E85" s="2" t="s">
        <v>737</v>
      </c>
      <c r="F85" s="2"/>
      <c r="G85" s="2">
        <v>37.354634601129696</v>
      </c>
      <c r="H85" s="2">
        <v>-95.522997260257483</v>
      </c>
      <c r="I85" s="2" t="s">
        <v>738</v>
      </c>
      <c r="J85" s="2"/>
      <c r="K85" s="2" t="s">
        <v>169</v>
      </c>
    </row>
    <row r="86" spans="1:11" x14ac:dyDescent="0.25">
      <c r="A86" s="2">
        <v>236.24803622652823</v>
      </c>
      <c r="B86" s="2">
        <v>1628411882838</v>
      </c>
      <c r="C86" s="2">
        <v>33.367799067385263</v>
      </c>
      <c r="D86" s="2"/>
      <c r="E86" s="2" t="s">
        <v>737</v>
      </c>
      <c r="F86" s="2"/>
      <c r="G86" s="2">
        <v>37.35489532571048</v>
      </c>
      <c r="H86" s="2">
        <v>-95.523184106048362</v>
      </c>
      <c r="I86" s="2" t="s">
        <v>738</v>
      </c>
      <c r="J86" s="2"/>
      <c r="K86" s="2" t="s">
        <v>169</v>
      </c>
    </row>
    <row r="87" spans="1:11" x14ac:dyDescent="0.25">
      <c r="A87" s="2">
        <v>236.54214504677324</v>
      </c>
      <c r="B87" s="2">
        <v>1628411888838</v>
      </c>
      <c r="C87" s="2">
        <v>35.959945229744527</v>
      </c>
      <c r="D87" s="2"/>
      <c r="E87" s="2" t="s">
        <v>737</v>
      </c>
      <c r="F87" s="2"/>
      <c r="G87" s="2">
        <v>37.355022872902936</v>
      </c>
      <c r="H87" s="2">
        <v>-95.523557954372194</v>
      </c>
      <c r="I87" s="2" t="s">
        <v>738</v>
      </c>
      <c r="J87" s="2"/>
      <c r="K87" s="2" t="s">
        <v>169</v>
      </c>
    </row>
    <row r="88" spans="1:11" x14ac:dyDescent="0.25">
      <c r="A88" s="2">
        <v>236.72075609556572</v>
      </c>
      <c r="B88" s="2">
        <v>1628411894839</v>
      </c>
      <c r="C88" s="2">
        <v>35.535160423026888</v>
      </c>
      <c r="D88" s="2"/>
      <c r="E88" s="2" t="s">
        <v>737</v>
      </c>
      <c r="F88" s="2"/>
      <c r="G88" s="2">
        <v>37.355084126170269</v>
      </c>
      <c r="H88" s="2">
        <v>-95.523952531949959</v>
      </c>
      <c r="I88" s="2" t="s">
        <v>738</v>
      </c>
      <c r="J88" s="2"/>
      <c r="K88" s="2" t="s">
        <v>169</v>
      </c>
    </row>
    <row r="89" spans="1:11" x14ac:dyDescent="0.25">
      <c r="A89" s="2">
        <v>236.73504742686521</v>
      </c>
      <c r="B89" s="2">
        <v>1628411900839</v>
      </c>
      <c r="C89" s="2">
        <v>38.436752010318145</v>
      </c>
      <c r="D89" s="2"/>
      <c r="E89" s="2" t="s">
        <v>737</v>
      </c>
      <c r="F89" s="2"/>
      <c r="G89" s="2">
        <v>37.355047646297201</v>
      </c>
      <c r="H89" s="2">
        <v>-95.524384968343497</v>
      </c>
      <c r="I89" s="2" t="s">
        <v>738</v>
      </c>
      <c r="J89" s="2"/>
      <c r="K89" s="2" t="s">
        <v>169</v>
      </c>
    </row>
    <row r="90" spans="1:11" x14ac:dyDescent="0.25">
      <c r="A90" s="2">
        <v>236.79853663966017</v>
      </c>
      <c r="B90" s="2">
        <v>1628411906840</v>
      </c>
      <c r="C90" s="2">
        <v>41.15097548979206</v>
      </c>
      <c r="D90" s="2"/>
      <c r="E90" s="2" t="s">
        <v>737</v>
      </c>
      <c r="F90" s="2"/>
      <c r="G90" s="2">
        <v>37.354919590099357</v>
      </c>
      <c r="H90" s="2">
        <v>-95.524821779871118</v>
      </c>
      <c r="I90" s="2" t="s">
        <v>738</v>
      </c>
      <c r="J90" s="2"/>
      <c r="K90" s="2" t="s">
        <v>169</v>
      </c>
    </row>
    <row r="91" spans="1:11" x14ac:dyDescent="0.25">
      <c r="A91" s="2">
        <v>237.24414635997903</v>
      </c>
      <c r="B91" s="2">
        <v>1628411912840</v>
      </c>
      <c r="C91" s="2">
        <v>35.959917245571106</v>
      </c>
      <c r="D91" s="2"/>
      <c r="E91" s="2" t="s">
        <v>737</v>
      </c>
      <c r="F91" s="2"/>
      <c r="G91" s="2">
        <v>37.354804660448679</v>
      </c>
      <c r="H91" s="2">
        <v>-95.525202029314997</v>
      </c>
      <c r="I91" s="2" t="s">
        <v>738</v>
      </c>
      <c r="J91" s="2"/>
      <c r="K91" s="2" t="s">
        <v>169</v>
      </c>
    </row>
    <row r="92" spans="1:11" x14ac:dyDescent="0.25">
      <c r="A92" s="2">
        <v>237.12692536297411</v>
      </c>
      <c r="B92" s="2">
        <v>1628411918840</v>
      </c>
      <c r="C92" s="2">
        <v>33.294835544520687</v>
      </c>
      <c r="D92" s="2"/>
      <c r="E92" s="2" t="s">
        <v>737</v>
      </c>
      <c r="F92" s="2"/>
      <c r="G92" s="2">
        <v>37.354716148780199</v>
      </c>
      <c r="H92" s="2">
        <v>-95.525561881799106</v>
      </c>
      <c r="I92" s="2" t="s">
        <v>738</v>
      </c>
      <c r="J92" s="2"/>
      <c r="K92" s="2" t="s">
        <v>169</v>
      </c>
    </row>
    <row r="93" spans="1:11" x14ac:dyDescent="0.25">
      <c r="A93" s="2">
        <v>236.71619049646324</v>
      </c>
      <c r="B93" s="2">
        <v>1628411924841</v>
      </c>
      <c r="C93" s="2">
        <v>36.783128919922333</v>
      </c>
      <c r="D93" s="2"/>
      <c r="E93" s="2" t="s">
        <v>737</v>
      </c>
      <c r="F93" s="2"/>
      <c r="G93" s="2">
        <v>37.354676820680801</v>
      </c>
      <c r="H93" s="2">
        <v>-95.525975058211927</v>
      </c>
      <c r="I93" s="2" t="s">
        <v>738</v>
      </c>
      <c r="J93" s="2"/>
      <c r="K93" s="2" t="s">
        <v>169</v>
      </c>
    </row>
    <row r="94" spans="1:11" x14ac:dyDescent="0.25">
      <c r="A94" s="2">
        <v>236.27843229527952</v>
      </c>
      <c r="B94" s="2">
        <v>1628411930841</v>
      </c>
      <c r="C94" s="2">
        <v>35.285005620739184</v>
      </c>
      <c r="D94" s="2"/>
      <c r="E94" s="2" t="s">
        <v>737</v>
      </c>
      <c r="F94" s="2"/>
      <c r="G94" s="2">
        <v>37.354675508977977</v>
      </c>
      <c r="H94" s="2">
        <v>-95.526374228682499</v>
      </c>
      <c r="I94" s="2" t="s">
        <v>738</v>
      </c>
      <c r="J94" s="2"/>
      <c r="K94" s="2" t="s">
        <v>169</v>
      </c>
    </row>
    <row r="95" spans="1:11" x14ac:dyDescent="0.25">
      <c r="A95" s="2">
        <v>235.79372914320243</v>
      </c>
      <c r="B95" s="2">
        <v>1628411936842</v>
      </c>
      <c r="C95" s="2">
        <v>35.959936951274621</v>
      </c>
      <c r="D95" s="2"/>
      <c r="E95" s="2" t="s">
        <v>737</v>
      </c>
      <c r="F95" s="2"/>
      <c r="G95" s="2">
        <v>37.354693175913283</v>
      </c>
      <c r="H95" s="2">
        <v>-95.526780424761796</v>
      </c>
      <c r="I95" s="2" t="s">
        <v>738</v>
      </c>
      <c r="J95" s="2"/>
      <c r="K95" s="2" t="s">
        <v>169</v>
      </c>
    </row>
    <row r="96" spans="1:11" x14ac:dyDescent="0.25">
      <c r="A96" s="2">
        <v>235.35982358520243</v>
      </c>
      <c r="B96" s="2">
        <v>1628411942842</v>
      </c>
      <c r="C96" s="2">
        <v>36.733714012601574</v>
      </c>
      <c r="D96" s="2"/>
      <c r="E96" s="2" t="s">
        <v>737</v>
      </c>
      <c r="F96" s="2"/>
      <c r="G96" s="2">
        <v>37.35470534250441</v>
      </c>
      <c r="H96" s="2">
        <v>-95.527195708812727</v>
      </c>
      <c r="I96" s="2" t="s">
        <v>738</v>
      </c>
      <c r="J96" s="2"/>
      <c r="K96" s="2" t="s">
        <v>169</v>
      </c>
    </row>
    <row r="97" spans="1:11" x14ac:dyDescent="0.25">
      <c r="A97" s="2">
        <v>235.05929434079275</v>
      </c>
      <c r="B97" s="2">
        <v>1628411948843</v>
      </c>
      <c r="C97" s="2">
        <v>35.959928165946216</v>
      </c>
      <c r="D97" s="2"/>
      <c r="E97" s="2" t="s">
        <v>737</v>
      </c>
      <c r="F97" s="2"/>
      <c r="G97" s="2">
        <v>37.354705350017646</v>
      </c>
      <c r="H97" s="2">
        <v>-95.527602535250864</v>
      </c>
      <c r="I97" s="2" t="s">
        <v>738</v>
      </c>
      <c r="J97" s="2"/>
      <c r="K97" s="2" t="s">
        <v>169</v>
      </c>
    </row>
    <row r="98" spans="1:11" x14ac:dyDescent="0.25">
      <c r="A98" s="2">
        <v>235.0270560582812</v>
      </c>
      <c r="B98" s="2">
        <v>1628411954843</v>
      </c>
      <c r="C98" s="2">
        <v>15.50984099986997</v>
      </c>
      <c r="D98" s="2"/>
      <c r="E98" s="2" t="s">
        <v>737</v>
      </c>
      <c r="F98" s="2"/>
      <c r="G98" s="2">
        <v>37.354585721065916</v>
      </c>
      <c r="H98" s="2">
        <v>-95.527692766920438</v>
      </c>
      <c r="I98" s="2" t="s">
        <v>738</v>
      </c>
      <c r="J98" s="2"/>
      <c r="K98" s="2" t="s">
        <v>169</v>
      </c>
    </row>
    <row r="99" spans="1:11" x14ac:dyDescent="0.25">
      <c r="A99" s="2">
        <v>234.74822425988037</v>
      </c>
      <c r="B99" s="2">
        <v>1628411960843</v>
      </c>
      <c r="C99" s="2">
        <v>17.97996646290682</v>
      </c>
      <c r="D99" s="2"/>
      <c r="E99" s="2" t="s">
        <v>737</v>
      </c>
      <c r="F99" s="2"/>
      <c r="G99" s="2">
        <v>37.35443617427805</v>
      </c>
      <c r="H99" s="2">
        <v>-95.527770067674396</v>
      </c>
      <c r="I99" s="2" t="s">
        <v>738</v>
      </c>
      <c r="J99" s="2"/>
      <c r="K99" s="2" t="s">
        <v>169</v>
      </c>
    </row>
    <row r="100" spans="1:11" x14ac:dyDescent="0.25">
      <c r="A100" s="2">
        <v>234.46004916775067</v>
      </c>
      <c r="B100" s="2">
        <v>1628411966844</v>
      </c>
      <c r="C100" s="2">
        <v>18.825041543582461</v>
      </c>
      <c r="D100" s="2"/>
      <c r="E100" s="2" t="s">
        <v>737</v>
      </c>
      <c r="F100" s="2"/>
      <c r="G100" s="2">
        <v>37.354364910599429</v>
      </c>
      <c r="H100" s="2">
        <v>-95.527963232537942</v>
      </c>
      <c r="I100" s="2" t="s">
        <v>738</v>
      </c>
      <c r="J100" s="2"/>
      <c r="K100" s="2" t="s">
        <v>169</v>
      </c>
    </row>
    <row r="101" spans="1:11" x14ac:dyDescent="0.25">
      <c r="A101" s="2">
        <v>234.19009843002971</v>
      </c>
      <c r="B101" s="2">
        <v>1628411972844</v>
      </c>
      <c r="C101" s="2">
        <v>17.979966027333415</v>
      </c>
      <c r="D101" s="2"/>
      <c r="E101" s="2" t="s">
        <v>737</v>
      </c>
      <c r="F101" s="2"/>
      <c r="G101" s="2">
        <v>37.354303421220393</v>
      </c>
      <c r="H101" s="2">
        <v>-95.528151345010016</v>
      </c>
      <c r="I101" s="2" t="s">
        <v>738</v>
      </c>
      <c r="J101" s="2"/>
      <c r="K101" s="2" t="s">
        <v>169</v>
      </c>
    </row>
    <row r="102" spans="1:11" x14ac:dyDescent="0.25">
      <c r="A102" s="2">
        <v>234.08271327977303</v>
      </c>
      <c r="B102" s="2">
        <v>1628411978845</v>
      </c>
      <c r="C102" s="2">
        <v>15.884166903619764</v>
      </c>
      <c r="D102" s="2"/>
      <c r="E102" s="2" t="s">
        <v>737</v>
      </c>
      <c r="F102" s="2"/>
      <c r="G102" s="2">
        <v>37.354175966618619</v>
      </c>
      <c r="H102" s="2">
        <v>-95.528232489214318</v>
      </c>
      <c r="I102" s="2" t="s">
        <v>738</v>
      </c>
      <c r="J102" s="2"/>
      <c r="K102" s="2" t="s">
        <v>169</v>
      </c>
    </row>
    <row r="103" spans="1:11" x14ac:dyDescent="0.25">
      <c r="A103" s="2">
        <v>233.93542659797217</v>
      </c>
      <c r="B103" s="2">
        <v>1628411984845</v>
      </c>
      <c r="C103" s="2">
        <v>17.979933627510675</v>
      </c>
      <c r="D103" s="2"/>
      <c r="E103" s="2" t="s">
        <v>737</v>
      </c>
      <c r="F103" s="2"/>
      <c r="G103" s="2">
        <v>37.354039423272859</v>
      </c>
      <c r="H103" s="2">
        <v>-95.528341438400261</v>
      </c>
      <c r="I103" s="2" t="s">
        <v>738</v>
      </c>
      <c r="J103" s="2"/>
      <c r="K103" s="2" t="s">
        <v>169</v>
      </c>
    </row>
    <row r="104" spans="1:11" x14ac:dyDescent="0.25">
      <c r="A104" s="2">
        <v>233.78813995459777</v>
      </c>
      <c r="B104" s="2">
        <v>1628411990846</v>
      </c>
      <c r="C104" s="2">
        <v>17.979938317622906</v>
      </c>
      <c r="D104" s="2"/>
      <c r="E104" s="2" t="s">
        <v>737</v>
      </c>
      <c r="F104" s="2"/>
      <c r="G104" s="2">
        <v>37.353902879962739</v>
      </c>
      <c r="H104" s="2">
        <v>-95.528450387557754</v>
      </c>
      <c r="I104" s="2" t="s">
        <v>738</v>
      </c>
      <c r="J104" s="2"/>
      <c r="K104" s="2" t="s">
        <v>169</v>
      </c>
    </row>
    <row r="105" spans="1:11" x14ac:dyDescent="0.25">
      <c r="A105" s="2">
        <v>233.64085334965264</v>
      </c>
      <c r="B105" s="2">
        <v>1628411996846</v>
      </c>
      <c r="C105" s="2">
        <v>17.979943007710649</v>
      </c>
      <c r="D105" s="2"/>
      <c r="E105" s="2" t="s">
        <v>737</v>
      </c>
      <c r="F105" s="2"/>
      <c r="G105" s="2">
        <v>37.353766336688238</v>
      </c>
      <c r="H105" s="2">
        <v>-95.528559336686797</v>
      </c>
      <c r="I105" s="2" t="s">
        <v>738</v>
      </c>
      <c r="J105" s="2"/>
      <c r="K105" s="2" t="s">
        <v>169</v>
      </c>
    </row>
    <row r="106" spans="1:11" x14ac:dyDescent="0.25">
      <c r="A106" s="2">
        <v>233.49356678313359</v>
      </c>
      <c r="B106" s="2">
        <v>1628412002846</v>
      </c>
      <c r="C106" s="2">
        <v>17.979947698973518</v>
      </c>
      <c r="D106" s="2"/>
      <c r="E106" s="2" t="s">
        <v>737</v>
      </c>
      <c r="F106" s="2"/>
      <c r="G106" s="2">
        <v>37.353629793449358</v>
      </c>
      <c r="H106" s="2">
        <v>-95.528668285787461</v>
      </c>
      <c r="I106" s="2" t="s">
        <v>738</v>
      </c>
      <c r="J106" s="2"/>
      <c r="K106" s="2" t="s">
        <v>169</v>
      </c>
    </row>
    <row r="107" spans="1:11" x14ac:dyDescent="0.25">
      <c r="A107" s="2">
        <v>233.34628025504136</v>
      </c>
      <c r="B107" s="2">
        <v>1628412008847</v>
      </c>
      <c r="C107" s="2">
        <v>17.979952392611057</v>
      </c>
      <c r="D107" s="2"/>
      <c r="E107" s="2" t="s">
        <v>737</v>
      </c>
      <c r="F107" s="2"/>
      <c r="G107" s="2">
        <v>37.353493250246096</v>
      </c>
      <c r="H107" s="2">
        <v>-95.528777234859675</v>
      </c>
      <c r="I107" s="2" t="s">
        <v>738</v>
      </c>
      <c r="J107" s="2"/>
      <c r="K107" s="2" t="s">
        <v>169</v>
      </c>
    </row>
    <row r="108" spans="1:11" x14ac:dyDescent="0.25">
      <c r="A108" s="2">
        <v>233.1989937653741</v>
      </c>
      <c r="B108" s="2">
        <v>1628412014847</v>
      </c>
      <c r="C108" s="2">
        <v>17.979957080226292</v>
      </c>
      <c r="D108" s="2"/>
      <c r="E108" s="2" t="s">
        <v>737</v>
      </c>
      <c r="F108" s="2"/>
      <c r="G108" s="2">
        <v>37.353356707078468</v>
      </c>
      <c r="H108" s="2">
        <v>-95.528886183903481</v>
      </c>
      <c r="I108" s="2" t="s">
        <v>738</v>
      </c>
      <c r="J108" s="2"/>
      <c r="K108" s="2" t="s">
        <v>169</v>
      </c>
    </row>
    <row r="109" spans="1:11" x14ac:dyDescent="0.25">
      <c r="A109" s="2">
        <v>233.05170731414239</v>
      </c>
      <c r="B109" s="2">
        <v>1628412020847</v>
      </c>
      <c r="C109" s="2">
        <v>17.979961770813404</v>
      </c>
      <c r="D109" s="2"/>
      <c r="E109" s="2" t="s">
        <v>737</v>
      </c>
      <c r="F109" s="2"/>
      <c r="G109" s="2">
        <v>37.353220163946467</v>
      </c>
      <c r="H109" s="2">
        <v>-95.528995132918837</v>
      </c>
      <c r="I109" s="2" t="s">
        <v>738</v>
      </c>
      <c r="J109" s="2"/>
      <c r="K109" s="2" t="s">
        <v>169</v>
      </c>
    </row>
    <row r="110" spans="1:11" x14ac:dyDescent="0.25">
      <c r="A110" s="2">
        <v>233.57706735693807</v>
      </c>
      <c r="B110" s="2">
        <v>1628412026848</v>
      </c>
      <c r="C110" s="2">
        <v>20.478573582481751</v>
      </c>
      <c r="D110" s="2"/>
      <c r="E110" s="2" t="s">
        <v>737</v>
      </c>
      <c r="F110" s="2"/>
      <c r="G110" s="2">
        <v>37.353102968901915</v>
      </c>
      <c r="H110" s="2">
        <v>-95.529173755735201</v>
      </c>
      <c r="I110" s="2" t="s">
        <v>738</v>
      </c>
      <c r="J110" s="2"/>
      <c r="K110" s="2" t="s">
        <v>169</v>
      </c>
    </row>
    <row r="111" spans="1:11" x14ac:dyDescent="0.25">
      <c r="A111" s="2">
        <v>234.25335120834609</v>
      </c>
      <c r="B111" s="2">
        <v>1628412032848</v>
      </c>
      <c r="C111" s="2">
        <v>20.335968589492396</v>
      </c>
      <c r="D111" s="2"/>
      <c r="E111" s="2" t="s">
        <v>737</v>
      </c>
      <c r="F111" s="2"/>
      <c r="G111" s="2">
        <v>37.352956744760732</v>
      </c>
      <c r="H111" s="2">
        <v>-95.529311727540716</v>
      </c>
      <c r="I111" s="2" t="s">
        <v>738</v>
      </c>
      <c r="J111" s="2"/>
      <c r="K111" s="2" t="s">
        <v>169</v>
      </c>
    </row>
    <row r="112" spans="1:11" x14ac:dyDescent="0.25">
      <c r="A112" s="2">
        <v>234.78474386049115</v>
      </c>
      <c r="B112" s="2">
        <v>1628412038849</v>
      </c>
      <c r="C112" s="2">
        <v>17.995051925291168</v>
      </c>
      <c r="D112" s="2"/>
      <c r="E112" s="2" t="s">
        <v>737</v>
      </c>
      <c r="F112" s="2"/>
      <c r="G112" s="2">
        <v>37.352805678196141</v>
      </c>
      <c r="H112" s="2">
        <v>-95.529384497052718</v>
      </c>
      <c r="I112" s="2" t="s">
        <v>738</v>
      </c>
      <c r="J112" s="2"/>
      <c r="K112" s="2" t="s">
        <v>169</v>
      </c>
    </row>
    <row r="113" spans="1:11" x14ac:dyDescent="0.25">
      <c r="A113" s="2">
        <v>235.1589754284152</v>
      </c>
      <c r="B113" s="2">
        <v>1628412044849</v>
      </c>
      <c r="C113" s="2">
        <v>17.979971180046892</v>
      </c>
      <c r="D113" s="2"/>
      <c r="E113" s="2" t="s">
        <v>737</v>
      </c>
      <c r="F113" s="2"/>
      <c r="G113" s="2">
        <v>37.352648262790247</v>
      </c>
      <c r="H113" s="2">
        <v>-95.529430808209284</v>
      </c>
      <c r="I113" s="2" t="s">
        <v>738</v>
      </c>
      <c r="J113" s="2"/>
      <c r="K113" s="2" t="s">
        <v>169</v>
      </c>
    </row>
    <row r="114" spans="1:11" x14ac:dyDescent="0.25">
      <c r="A114" s="2">
        <v>234.97525304737715</v>
      </c>
      <c r="B114" s="2">
        <v>1628412050850</v>
      </c>
      <c r="C114" s="2">
        <v>15.152458919210217</v>
      </c>
      <c r="D114" s="2"/>
      <c r="E114" s="2" t="s">
        <v>737</v>
      </c>
      <c r="F114" s="2"/>
      <c r="G114" s="2">
        <v>37.35251390179895</v>
      </c>
      <c r="H114" s="2">
        <v>-95.529459321285884</v>
      </c>
      <c r="I114" s="2" t="s">
        <v>738</v>
      </c>
      <c r="J114" s="2"/>
      <c r="K114" s="2" t="s">
        <v>169</v>
      </c>
    </row>
    <row r="115" spans="1:11" x14ac:dyDescent="0.25">
      <c r="A115" s="2">
        <v>234.19471677665217</v>
      </c>
      <c r="B115" s="2">
        <v>1628412056850</v>
      </c>
      <c r="C115" s="2">
        <v>15.874946508294052</v>
      </c>
      <c r="D115" s="2"/>
      <c r="E115" s="2" t="s">
        <v>737</v>
      </c>
      <c r="F115" s="2"/>
      <c r="G115" s="2">
        <v>37.352436497614946</v>
      </c>
      <c r="H115" s="2">
        <v>-95.529609974246966</v>
      </c>
      <c r="I115" s="2" t="s">
        <v>738</v>
      </c>
      <c r="J115" s="2"/>
      <c r="K115" s="2" t="s">
        <v>169</v>
      </c>
    </row>
    <row r="116" spans="1:11" x14ac:dyDescent="0.25">
      <c r="A116" s="2">
        <v>232.04981030064999</v>
      </c>
      <c r="B116" s="2">
        <v>1628412062850</v>
      </c>
      <c r="C116" s="2">
        <v>16.814136354419173</v>
      </c>
      <c r="D116" s="2"/>
      <c r="E116" s="2" t="s">
        <v>737</v>
      </c>
      <c r="F116" s="2"/>
      <c r="G116" s="2">
        <v>37.352449871446879</v>
      </c>
      <c r="H116" s="2">
        <v>-95.529797893254525</v>
      </c>
      <c r="I116" s="2" t="s">
        <v>738</v>
      </c>
      <c r="J116" s="2"/>
      <c r="K116" s="2" t="s">
        <v>169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103351-3B72-45A4-A263-A194C2C897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Config</vt:lpstr>
      <vt:lpstr>Progress</vt:lpstr>
      <vt:lpstr>Progress Calcs</vt:lpstr>
      <vt:lpstr>Operations</vt:lpstr>
      <vt:lpstr>Operations Calcs</vt:lpstr>
      <vt:lpstr>Elevations</vt:lpstr>
      <vt:lpstr>Elevations Calcs</vt:lpstr>
      <vt:lpstr>Report Data</vt:lpstr>
      <vt:lpstr>Trail Data</vt:lpstr>
      <vt:lpstr>FilePath</vt:lpstr>
      <vt:lpstr>TrailUuid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Conlon</dc:creator>
  <cp:lastModifiedBy>Paul Conlon</cp:lastModifiedBy>
  <dcterms:created xsi:type="dcterms:W3CDTF">2021-07-30T13:08:52Z</dcterms:created>
  <dcterms:modified xsi:type="dcterms:W3CDTF">2021-10-14T06:15:27Z</dcterms:modified>
</cp:coreProperties>
</file>